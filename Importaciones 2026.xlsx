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3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4.xml" ContentType="application/vnd.openxmlformats-officedocument.drawing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drawings/drawing5.xml" ContentType="application/vnd.openxmlformats-officedocument.drawing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Desktop\"/>
    </mc:Choice>
  </mc:AlternateContent>
  <xr:revisionPtr revIDLastSave="0" documentId="8_{C8C7BB87-6645-4661-8C92-16066734AA52}" xr6:coauthVersionLast="47" xr6:coauthVersionMax="47" xr10:uidLastSave="{00000000-0000-0000-0000-000000000000}"/>
  <bookViews>
    <workbookView xWindow="2175" yWindow="540" windowWidth="15375" windowHeight="7875" activeTab="4" xr2:uid="{E402ECC7-756C-4F76-AB64-649E26218E87}"/>
  </bookViews>
  <sheets>
    <sheet name="Calculadora base" sheetId="6" r:id="rId1"/>
    <sheet name="Enero" sheetId="13" r:id="rId2"/>
    <sheet name="Febrero" sheetId="7" r:id="rId3"/>
    <sheet name="Abril-Mayo" sheetId="8" r:id="rId4"/>
    <sheet name="Fin de año" sheetId="1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8" l="1"/>
  <c r="D11" i="18"/>
  <c r="E11" i="18" s="1"/>
  <c r="H11" i="18"/>
  <c r="I11" i="18" s="1"/>
  <c r="R11" i="18"/>
  <c r="B14" i="18"/>
  <c r="Q14" i="18"/>
  <c r="G14" i="18"/>
  <c r="F14" i="18"/>
  <c r="C14" i="18"/>
  <c r="R12" i="18"/>
  <c r="H12" i="18"/>
  <c r="D12" i="18"/>
  <c r="E12" i="18" s="1"/>
  <c r="C12" i="18"/>
  <c r="R10" i="18"/>
  <c r="H10" i="18"/>
  <c r="D10" i="18"/>
  <c r="E10" i="18" s="1"/>
  <c r="C10" i="18"/>
  <c r="R9" i="18"/>
  <c r="H9" i="18"/>
  <c r="D9" i="18"/>
  <c r="E9" i="18" s="1"/>
  <c r="C9" i="18"/>
  <c r="R8" i="18"/>
  <c r="H8" i="18"/>
  <c r="D8" i="18"/>
  <c r="C8" i="18"/>
  <c r="K18" i="8"/>
  <c r="J16" i="8"/>
  <c r="Q18" i="8"/>
  <c r="G18" i="8"/>
  <c r="F18" i="8"/>
  <c r="B18" i="8"/>
  <c r="C16" i="8"/>
  <c r="D16" i="8"/>
  <c r="E16" i="8" s="1"/>
  <c r="H16" i="8"/>
  <c r="I16" i="8" s="1"/>
  <c r="R16" i="8"/>
  <c r="R11" i="8"/>
  <c r="D8" i="8"/>
  <c r="D10" i="8"/>
  <c r="D11" i="8"/>
  <c r="M11" i="18" l="1"/>
  <c r="L11" i="18"/>
  <c r="N11" i="18" s="1"/>
  <c r="D14" i="18"/>
  <c r="J11" i="18"/>
  <c r="M9" i="18"/>
  <c r="L9" i="18"/>
  <c r="E8" i="18"/>
  <c r="H14" i="18"/>
  <c r="J14" i="18" s="1"/>
  <c r="L10" i="18"/>
  <c r="M10" i="18"/>
  <c r="E14" i="18"/>
  <c r="L12" i="18"/>
  <c r="M12" i="18"/>
  <c r="I12" i="18"/>
  <c r="R14" i="18"/>
  <c r="B24" i="18" s="1"/>
  <c r="J8" i="18"/>
  <c r="K8" i="18" s="1"/>
  <c r="J9" i="18"/>
  <c r="J10" i="18"/>
  <c r="J12" i="18"/>
  <c r="I8" i="18"/>
  <c r="I9" i="18"/>
  <c r="I10" i="18"/>
  <c r="K16" i="8"/>
  <c r="L16" i="8"/>
  <c r="M16" i="8"/>
  <c r="P5" i="13"/>
  <c r="P15" i="13"/>
  <c r="P10" i="13"/>
  <c r="O11" i="18" l="1"/>
  <c r="S11" i="18" s="1"/>
  <c r="K11" i="18"/>
  <c r="N9" i="18"/>
  <c r="O9" i="18" s="1"/>
  <c r="N10" i="18"/>
  <c r="O10" i="18" s="1"/>
  <c r="K9" i="18"/>
  <c r="I14" i="18"/>
  <c r="K14" i="18" s="1"/>
  <c r="K10" i="18"/>
  <c r="K12" i="18"/>
  <c r="L8" i="18"/>
  <c r="L14" i="18" s="1"/>
  <c r="M8" i="18"/>
  <c r="M14" i="18" s="1"/>
  <c r="N12" i="18"/>
  <c r="O12" i="18" s="1"/>
  <c r="N16" i="8"/>
  <c r="O16" i="8" s="1"/>
  <c r="P13" i="13"/>
  <c r="Q17" i="13"/>
  <c r="G17" i="13"/>
  <c r="F17" i="13"/>
  <c r="B17" i="13"/>
  <c r="R16" i="13"/>
  <c r="I16" i="13"/>
  <c r="H16" i="13"/>
  <c r="J16" i="13" s="1"/>
  <c r="K16" i="13" s="1"/>
  <c r="E16" i="13"/>
  <c r="M16" i="13" s="1"/>
  <c r="D16" i="13"/>
  <c r="C16" i="13"/>
  <c r="R15" i="13"/>
  <c r="H15" i="13"/>
  <c r="I15" i="13" s="1"/>
  <c r="E15" i="13"/>
  <c r="M15" i="13" s="1"/>
  <c r="D15" i="13"/>
  <c r="C15" i="13"/>
  <c r="R14" i="13"/>
  <c r="H14" i="13"/>
  <c r="I14" i="13" s="1"/>
  <c r="E14" i="13"/>
  <c r="M14" i="13" s="1"/>
  <c r="D14" i="13"/>
  <c r="C14" i="13"/>
  <c r="U13" i="13"/>
  <c r="T13" i="13"/>
  <c r="R13" i="13"/>
  <c r="J13" i="13"/>
  <c r="H13" i="13"/>
  <c r="I13" i="13" s="1"/>
  <c r="E13" i="13"/>
  <c r="M13" i="13" s="1"/>
  <c r="D13" i="13"/>
  <c r="C13" i="13"/>
  <c r="R12" i="13"/>
  <c r="H12" i="13"/>
  <c r="I12" i="13" s="1"/>
  <c r="E12" i="13"/>
  <c r="M12" i="13" s="1"/>
  <c r="D12" i="13"/>
  <c r="C12" i="13"/>
  <c r="R11" i="13"/>
  <c r="J11" i="13"/>
  <c r="H11" i="13"/>
  <c r="I11" i="13" s="1"/>
  <c r="K11" i="13" s="1"/>
  <c r="E11" i="13"/>
  <c r="M11" i="13" s="1"/>
  <c r="D11" i="13"/>
  <c r="C11" i="13"/>
  <c r="R10" i="13"/>
  <c r="J10" i="13"/>
  <c r="H10" i="13"/>
  <c r="I10" i="13" s="1"/>
  <c r="K10" i="13" s="1"/>
  <c r="E10" i="13"/>
  <c r="M10" i="13" s="1"/>
  <c r="D10" i="13"/>
  <c r="C10" i="13"/>
  <c r="R9" i="13"/>
  <c r="J9" i="13"/>
  <c r="H9" i="13"/>
  <c r="I9" i="13" s="1"/>
  <c r="K9" i="13" s="1"/>
  <c r="D9" i="13"/>
  <c r="E9" i="13" s="1"/>
  <c r="C9" i="13"/>
  <c r="R8" i="13"/>
  <c r="J8" i="13"/>
  <c r="H8" i="13"/>
  <c r="D8" i="13"/>
  <c r="E8" i="13" s="1"/>
  <c r="C8" i="13"/>
  <c r="C17" i="13" s="1"/>
  <c r="P11" i="18" l="1"/>
  <c r="P9" i="18"/>
  <c r="S9" i="18"/>
  <c r="T11" i="18"/>
  <c r="U11" i="18"/>
  <c r="B27" i="18"/>
  <c r="N8" i="18"/>
  <c r="O8" i="18" s="1"/>
  <c r="P12" i="18"/>
  <c r="S12" i="18"/>
  <c r="P10" i="18"/>
  <c r="S10" i="18"/>
  <c r="B28" i="18"/>
  <c r="P16" i="8"/>
  <c r="S16" i="8"/>
  <c r="K12" i="13"/>
  <c r="J12" i="13"/>
  <c r="K15" i="13"/>
  <c r="J15" i="13"/>
  <c r="J14" i="13"/>
  <c r="K14" i="13" s="1"/>
  <c r="H17" i="13"/>
  <c r="I17" i="13" s="1"/>
  <c r="R17" i="13"/>
  <c r="B30" i="13" s="1"/>
  <c r="M9" i="13"/>
  <c r="L9" i="13"/>
  <c r="N9" i="13" s="1"/>
  <c r="O9" i="13" s="1"/>
  <c r="J17" i="13"/>
  <c r="M8" i="13"/>
  <c r="M17" i="13" s="1"/>
  <c r="L8" i="13"/>
  <c r="E17" i="13"/>
  <c r="K13" i="13"/>
  <c r="L14" i="13"/>
  <c r="N14" i="13" s="1"/>
  <c r="L15" i="13"/>
  <c r="N15" i="13" s="1"/>
  <c r="O15" i="13" s="1"/>
  <c r="L16" i="13"/>
  <c r="N16" i="13" s="1"/>
  <c r="O16" i="13" s="1"/>
  <c r="P16" i="13" s="1"/>
  <c r="L10" i="13"/>
  <c r="N10" i="13" s="1"/>
  <c r="O10" i="13" s="1"/>
  <c r="L11" i="13"/>
  <c r="N11" i="13" s="1"/>
  <c r="O11" i="13" s="1"/>
  <c r="L12" i="13"/>
  <c r="N12" i="13" s="1"/>
  <c r="O12" i="13" s="1"/>
  <c r="L13" i="13"/>
  <c r="N13" i="13" s="1"/>
  <c r="O13" i="13" s="1"/>
  <c r="S13" i="13" s="1"/>
  <c r="I8" i="13"/>
  <c r="K8" i="13" s="1"/>
  <c r="B30" i="18" l="1"/>
  <c r="T9" i="18"/>
  <c r="U9" i="18"/>
  <c r="S8" i="18"/>
  <c r="S14" i="18" s="1"/>
  <c r="O14" i="18"/>
  <c r="N14" i="18"/>
  <c r="P8" i="18"/>
  <c r="P14" i="18" s="1"/>
  <c r="T10" i="18"/>
  <c r="U10" i="18"/>
  <c r="T12" i="18"/>
  <c r="U12" i="18"/>
  <c r="B32" i="18"/>
  <c r="T16" i="8"/>
  <c r="U16" i="8"/>
  <c r="K17" i="13"/>
  <c r="B33" i="13"/>
  <c r="O14" i="13"/>
  <c r="P14" i="13" s="1"/>
  <c r="P12" i="13"/>
  <c r="S12" i="13"/>
  <c r="T15" i="13"/>
  <c r="U15" i="13"/>
  <c r="S15" i="13"/>
  <c r="P11" i="13"/>
  <c r="S11" i="13"/>
  <c r="T14" i="13"/>
  <c r="U14" i="13"/>
  <c r="S10" i="13"/>
  <c r="L17" i="13"/>
  <c r="N8" i="13"/>
  <c r="S9" i="13"/>
  <c r="P9" i="13"/>
  <c r="T16" i="13"/>
  <c r="U16" i="13"/>
  <c r="S16" i="13"/>
  <c r="T8" i="18" l="1"/>
  <c r="U8" i="18"/>
  <c r="B33" i="18"/>
  <c r="B36" i="18"/>
  <c r="S14" i="13"/>
  <c r="U9" i="13"/>
  <c r="T9" i="13"/>
  <c r="U10" i="13"/>
  <c r="T10" i="13"/>
  <c r="O8" i="13"/>
  <c r="B34" i="13"/>
  <c r="N17" i="13"/>
  <c r="U11" i="13"/>
  <c r="T11" i="13"/>
  <c r="U12" i="13"/>
  <c r="T12" i="13"/>
  <c r="B38" i="18" l="1"/>
  <c r="B37" i="18"/>
  <c r="B38" i="13"/>
  <c r="B36" i="13"/>
  <c r="S8" i="13"/>
  <c r="S17" i="13" s="1"/>
  <c r="O17" i="13"/>
  <c r="P8" i="13"/>
  <c r="P17" i="13" l="1"/>
  <c r="U8" i="13"/>
  <c r="T8" i="13"/>
  <c r="B39" i="13"/>
  <c r="B42" i="13"/>
  <c r="B44" i="13" l="1"/>
  <c r="B43" i="13"/>
  <c r="C15" i="8" l="1"/>
  <c r="D15" i="8"/>
  <c r="H15" i="8"/>
  <c r="R15" i="8"/>
  <c r="C11" i="8"/>
  <c r="E11" i="8"/>
  <c r="H11" i="8"/>
  <c r="C12" i="8"/>
  <c r="D12" i="8"/>
  <c r="H12" i="8"/>
  <c r="R12" i="8"/>
  <c r="C13" i="8"/>
  <c r="D13" i="8"/>
  <c r="E13" i="8" s="1"/>
  <c r="H13" i="8"/>
  <c r="R13" i="8"/>
  <c r="C14" i="8"/>
  <c r="D14" i="8"/>
  <c r="E14" i="8" s="1"/>
  <c r="H14" i="8"/>
  <c r="R14" i="8"/>
  <c r="J11" i="8" l="1"/>
  <c r="I11" i="8"/>
  <c r="I15" i="8"/>
  <c r="K15" i="8" s="1"/>
  <c r="J15" i="8"/>
  <c r="I14" i="8"/>
  <c r="J14" i="8"/>
  <c r="J13" i="8"/>
  <c r="K13" i="8" s="1"/>
  <c r="I13" i="8"/>
  <c r="I12" i="8"/>
  <c r="J12" i="8"/>
  <c r="E15" i="8"/>
  <c r="M15" i="8" s="1"/>
  <c r="E12" i="8"/>
  <c r="L12" i="8" s="1"/>
  <c r="M11" i="8"/>
  <c r="L11" i="8"/>
  <c r="M13" i="8"/>
  <c r="L13" i="8"/>
  <c r="M14" i="8"/>
  <c r="L14" i="8"/>
  <c r="K12" i="8"/>
  <c r="K11" i="8"/>
  <c r="K14" i="8"/>
  <c r="C10" i="8"/>
  <c r="E10" i="8"/>
  <c r="H10" i="8"/>
  <c r="R10" i="8"/>
  <c r="I16" i="7"/>
  <c r="J16" i="7" s="1"/>
  <c r="I15" i="7"/>
  <c r="I14" i="7"/>
  <c r="J14" i="7" s="1"/>
  <c r="C18" i="8"/>
  <c r="R9" i="8"/>
  <c r="H9" i="8"/>
  <c r="D9" i="8"/>
  <c r="E9" i="8" s="1"/>
  <c r="C9" i="8"/>
  <c r="R8" i="8"/>
  <c r="H8" i="8"/>
  <c r="E8" i="8"/>
  <c r="M8" i="8" s="1"/>
  <c r="C8" i="8"/>
  <c r="B30" i="6"/>
  <c r="I9" i="7"/>
  <c r="J9" i="7" s="1"/>
  <c r="I10" i="7"/>
  <c r="J10" i="7"/>
  <c r="I11" i="7"/>
  <c r="J11" i="7" s="1"/>
  <c r="I12" i="7"/>
  <c r="J12" i="7" s="1"/>
  <c r="I13" i="7"/>
  <c r="J13" i="7" s="1"/>
  <c r="I17" i="7"/>
  <c r="J17" i="7" s="1"/>
  <c r="N11" i="8" l="1"/>
  <c r="L15" i="8"/>
  <c r="I10" i="8"/>
  <c r="J10" i="8"/>
  <c r="K8" i="8"/>
  <c r="J8" i="8"/>
  <c r="I8" i="8"/>
  <c r="J9" i="8"/>
  <c r="I9" i="8"/>
  <c r="R18" i="8"/>
  <c r="B28" i="8" s="1"/>
  <c r="E18" i="8"/>
  <c r="H18" i="8"/>
  <c r="D18" i="8"/>
  <c r="N15" i="8"/>
  <c r="O15" i="8" s="1"/>
  <c r="S15" i="8" s="1"/>
  <c r="M12" i="8"/>
  <c r="N12" i="8" s="1"/>
  <c r="O12" i="8" s="1"/>
  <c r="M10" i="8"/>
  <c r="N14" i="8"/>
  <c r="O14" i="8" s="1"/>
  <c r="P14" i="8" s="1"/>
  <c r="N13" i="8"/>
  <c r="O13" i="8" s="1"/>
  <c r="P13" i="8" s="1"/>
  <c r="K10" i="8"/>
  <c r="L10" i="8"/>
  <c r="J15" i="7"/>
  <c r="L8" i="8"/>
  <c r="M9" i="8"/>
  <c r="L9" i="8"/>
  <c r="I18" i="7"/>
  <c r="J18" i="7" s="1"/>
  <c r="R18" i="7"/>
  <c r="B30" i="7" s="1"/>
  <c r="H18" i="7"/>
  <c r="G18" i="7"/>
  <c r="C18" i="7"/>
  <c r="S17" i="7"/>
  <c r="K17" i="7"/>
  <c r="E17" i="7"/>
  <c r="D17" i="7"/>
  <c r="F17" i="7" s="1"/>
  <c r="S16" i="7"/>
  <c r="K16" i="7"/>
  <c r="E16" i="7"/>
  <c r="D16" i="7"/>
  <c r="F16" i="7" s="1"/>
  <c r="S15" i="7"/>
  <c r="K15" i="7"/>
  <c r="E15" i="7"/>
  <c r="D15" i="7"/>
  <c r="F15" i="7" s="1"/>
  <c r="N15" i="7" s="1"/>
  <c r="S14" i="7"/>
  <c r="K14" i="7"/>
  <c r="L14" i="7" s="1"/>
  <c r="E14" i="7"/>
  <c r="D14" i="7"/>
  <c r="F14" i="7" s="1"/>
  <c r="S13" i="7"/>
  <c r="K13" i="7"/>
  <c r="E13" i="7"/>
  <c r="D13" i="7"/>
  <c r="F13" i="7" s="1"/>
  <c r="S12" i="7"/>
  <c r="K12" i="7"/>
  <c r="E12" i="7"/>
  <c r="D12" i="7"/>
  <c r="F12" i="7" s="1"/>
  <c r="S11" i="7"/>
  <c r="E11" i="7"/>
  <c r="D11" i="7"/>
  <c r="F11" i="7" s="1"/>
  <c r="S10" i="7"/>
  <c r="E10" i="7"/>
  <c r="F10" i="7" s="1"/>
  <c r="D10" i="7"/>
  <c r="S9" i="7"/>
  <c r="K9" i="7"/>
  <c r="E9" i="7"/>
  <c r="F9" i="7" s="1"/>
  <c r="N9" i="7" s="1"/>
  <c r="D9" i="7"/>
  <c r="Q17" i="6"/>
  <c r="G17" i="6"/>
  <c r="F17" i="6"/>
  <c r="B17" i="6"/>
  <c r="I18" i="8" l="1"/>
  <c r="J18" i="8"/>
  <c r="L18" i="8"/>
  <c r="M18" i="8"/>
  <c r="O11" i="8"/>
  <c r="P11" i="8" s="1"/>
  <c r="N10" i="8"/>
  <c r="O10" i="8" s="1"/>
  <c r="P10" i="8" s="1"/>
  <c r="U10" i="8" s="1"/>
  <c r="P15" i="8"/>
  <c r="T15" i="8" s="1"/>
  <c r="S14" i="8"/>
  <c r="T14" i="8"/>
  <c r="S13" i="8"/>
  <c r="N8" i="8"/>
  <c r="T13" i="8"/>
  <c r="U13" i="8"/>
  <c r="S12" i="8"/>
  <c r="P12" i="8"/>
  <c r="N9" i="8"/>
  <c r="K9" i="8"/>
  <c r="B31" i="8" s="1"/>
  <c r="L9" i="7"/>
  <c r="K11" i="7"/>
  <c r="L11" i="7" s="1"/>
  <c r="L16" i="7"/>
  <c r="L17" i="7"/>
  <c r="L15" i="7"/>
  <c r="L13" i="7"/>
  <c r="L12" i="7"/>
  <c r="K10" i="7"/>
  <c r="L10" i="7" s="1"/>
  <c r="S18" i="7"/>
  <c r="D18" i="7"/>
  <c r="M14" i="7"/>
  <c r="N14" i="7"/>
  <c r="M10" i="7"/>
  <c r="N10" i="7"/>
  <c r="N17" i="7"/>
  <c r="M17" i="7"/>
  <c r="M12" i="7"/>
  <c r="N12" i="7"/>
  <c r="M11" i="7"/>
  <c r="N11" i="7"/>
  <c r="M13" i="7"/>
  <c r="N13" i="7"/>
  <c r="M9" i="7"/>
  <c r="F18" i="7"/>
  <c r="N16" i="7"/>
  <c r="M16" i="7"/>
  <c r="M15" i="7"/>
  <c r="O15" i="7" s="1"/>
  <c r="P15" i="7" s="1"/>
  <c r="R8" i="6"/>
  <c r="R9" i="6"/>
  <c r="C9" i="6"/>
  <c r="D8" i="6"/>
  <c r="E8" i="6" s="1"/>
  <c r="D9" i="6"/>
  <c r="E9" i="6" s="1"/>
  <c r="H8" i="6"/>
  <c r="H9" i="6"/>
  <c r="H17" i="6" s="1"/>
  <c r="C8" i="6"/>
  <c r="B34" i="7" l="1"/>
  <c r="B32" i="8"/>
  <c r="B34" i="8" s="1"/>
  <c r="O8" i="8"/>
  <c r="P8" i="8" s="1"/>
  <c r="N18" i="8"/>
  <c r="S11" i="8"/>
  <c r="T11" i="8"/>
  <c r="U11" i="8"/>
  <c r="U15" i="8"/>
  <c r="S10" i="8"/>
  <c r="T10" i="8"/>
  <c r="U14" i="8"/>
  <c r="T12" i="8"/>
  <c r="U12" i="8"/>
  <c r="O9" i="8"/>
  <c r="S9" i="8" s="1"/>
  <c r="B33" i="7"/>
  <c r="O17" i="7"/>
  <c r="P17" i="7" s="1"/>
  <c r="R17" i="6"/>
  <c r="Q15" i="7"/>
  <c r="O13" i="7"/>
  <c r="P13" i="7" s="1"/>
  <c r="K18" i="7"/>
  <c r="L18" i="7" s="1"/>
  <c r="O11" i="7"/>
  <c r="P11" i="7" s="1"/>
  <c r="Q11" i="7" s="1"/>
  <c r="V11" i="7" s="1"/>
  <c r="O14" i="7"/>
  <c r="P14" i="7" s="1"/>
  <c r="Q14" i="7" s="1"/>
  <c r="O10" i="7"/>
  <c r="P10" i="7" s="1"/>
  <c r="M18" i="7"/>
  <c r="O9" i="7"/>
  <c r="O16" i="7"/>
  <c r="O12" i="7"/>
  <c r="P12" i="7" s="1"/>
  <c r="N18" i="7"/>
  <c r="C17" i="6"/>
  <c r="E17" i="6"/>
  <c r="M8" i="6"/>
  <c r="I8" i="6"/>
  <c r="I9" i="6"/>
  <c r="M9" i="6"/>
  <c r="L9" i="6"/>
  <c r="J9" i="6"/>
  <c r="J8" i="6"/>
  <c r="K8" i="6" s="1"/>
  <c r="L8" i="6"/>
  <c r="S8" i="8" l="1"/>
  <c r="S18" i="8" s="1"/>
  <c r="B36" i="8"/>
  <c r="B40" i="8" s="1"/>
  <c r="O18" i="8"/>
  <c r="P9" i="8"/>
  <c r="P16" i="7"/>
  <c r="T15" i="7"/>
  <c r="T8" i="8"/>
  <c r="U8" i="8"/>
  <c r="B38" i="7"/>
  <c r="Q13" i="7"/>
  <c r="U13" i="7" s="1"/>
  <c r="T14" i="7"/>
  <c r="T17" i="7"/>
  <c r="V15" i="7"/>
  <c r="K9" i="6"/>
  <c r="T13" i="7"/>
  <c r="U11" i="7"/>
  <c r="T11" i="7"/>
  <c r="Q12" i="7"/>
  <c r="T12" i="7"/>
  <c r="O18" i="7"/>
  <c r="B35" i="7" s="1"/>
  <c r="B36" i="7" s="1"/>
  <c r="P9" i="7"/>
  <c r="Q10" i="7"/>
  <c r="T10" i="7"/>
  <c r="M17" i="6"/>
  <c r="L17" i="6"/>
  <c r="I17" i="6"/>
  <c r="N9" i="6"/>
  <c r="O9" i="6" s="1"/>
  <c r="B33" i="6"/>
  <c r="N8" i="6"/>
  <c r="T9" i="8" l="1"/>
  <c r="P18" i="8"/>
  <c r="U9" i="8"/>
  <c r="T16" i="7"/>
  <c r="B42" i="7"/>
  <c r="B39" i="7"/>
  <c r="V13" i="7"/>
  <c r="V14" i="7"/>
  <c r="U14" i="7"/>
  <c r="U15" i="7"/>
  <c r="P18" i="7"/>
  <c r="Q9" i="7"/>
  <c r="T9" i="7"/>
  <c r="T18" i="7" s="1"/>
  <c r="V10" i="7"/>
  <c r="U10" i="7"/>
  <c r="V12" i="7"/>
  <c r="U12" i="7"/>
  <c r="N17" i="6"/>
  <c r="O8" i="6"/>
  <c r="J17" i="6"/>
  <c r="K17" i="6" s="1"/>
  <c r="P9" i="6"/>
  <c r="T9" i="6" s="1"/>
  <c r="S9" i="6"/>
  <c r="B34" i="6"/>
  <c r="B38" i="6" s="1"/>
  <c r="U9" i="6"/>
  <c r="B37" i="8" l="1"/>
  <c r="B44" i="7"/>
  <c r="B43" i="7"/>
  <c r="V9" i="7"/>
  <c r="U9" i="7"/>
  <c r="Q18" i="7"/>
  <c r="O17" i="6"/>
  <c r="B35" i="6" s="1"/>
  <c r="B36" i="6" s="1"/>
  <c r="S8" i="6"/>
  <c r="B42" i="6"/>
  <c r="P8" i="6"/>
  <c r="B42" i="8" l="1"/>
  <c r="B41" i="8"/>
  <c r="S17" i="6"/>
  <c r="P17" i="6"/>
  <c r="U8" i="6"/>
  <c r="T8" i="6"/>
  <c r="B39" i="6"/>
  <c r="B44" i="6" l="1"/>
  <c r="B43" i="6"/>
</calcChain>
</file>

<file path=xl/sharedStrings.xml><?xml version="1.0" encoding="utf-8"?>
<sst xmlns="http://schemas.openxmlformats.org/spreadsheetml/2006/main" count="296" uniqueCount="90">
  <si>
    <t>Cantidad</t>
  </si>
  <si>
    <t>Producto</t>
  </si>
  <si>
    <t>Peso Unitario (libras)</t>
  </si>
  <si>
    <t>Peso total (libras)</t>
  </si>
  <si>
    <t xml:space="preserve">Cambio oficial dólar a códoba </t>
  </si>
  <si>
    <t>Cantidad (Dólares)</t>
  </si>
  <si>
    <t>Envío de productos (CHN-USA)</t>
  </si>
  <si>
    <t>.</t>
  </si>
  <si>
    <t>Costo Total</t>
  </si>
  <si>
    <t xml:space="preserve">TABLA DE COSTOS </t>
  </si>
  <si>
    <t>Costo Envío China-USA</t>
  </si>
  <si>
    <t>Costo Total Lote ($)</t>
  </si>
  <si>
    <t>Costo Unitario ($)</t>
  </si>
  <si>
    <t>Costo Unitario NIC</t>
  </si>
  <si>
    <t>Costo envío Total ($)</t>
  </si>
  <si>
    <t>Peso total en Kg</t>
  </si>
  <si>
    <t>Peso del producto en Kg</t>
  </si>
  <si>
    <t>Concepto</t>
  </si>
  <si>
    <t>Precio de venta</t>
  </si>
  <si>
    <t>1. 4</t>
  </si>
  <si>
    <t>Ingreso total  por producto</t>
  </si>
  <si>
    <t>utilidad por producto</t>
  </si>
  <si>
    <t>margen sobre costros por producto</t>
  </si>
  <si>
    <t>margen sobre ventas por productos</t>
  </si>
  <si>
    <t>COSTOS x libra</t>
  </si>
  <si>
    <t>Envío de productos  (USA-NIC)</t>
  </si>
  <si>
    <t>Monto (USD)</t>
  </si>
  <si>
    <t>Ingresos totales por ventas</t>
  </si>
  <si>
    <t>Costos de operación</t>
  </si>
  <si>
    <t>- Costo total de productos</t>
  </si>
  <si>
    <t>- Costo total de envío</t>
  </si>
  <si>
    <t>- Gastos de marketing/publicidad</t>
  </si>
  <si>
    <t>Costo total de la operación</t>
  </si>
  <si>
    <t>Utilidad bruta</t>
  </si>
  <si>
    <t>Utilidad neta</t>
  </si>
  <si>
    <t>Márgenes</t>
  </si>
  <si>
    <t>- Margen bruto sobre ingresos (%)</t>
  </si>
  <si>
    <t>- Margen neto sobre ingresos (%)</t>
  </si>
  <si>
    <t>- Margen neto sobre costos totales (%)</t>
  </si>
  <si>
    <t>Costo Envío  USA-NIC ($)</t>
  </si>
  <si>
    <t xml:space="preserve">comisión sobre transacción </t>
  </si>
  <si>
    <t xml:space="preserve">costo de envío interno en china </t>
  </si>
  <si>
    <t xml:space="preserve">Costo total total al almacen </t>
  </si>
  <si>
    <t xml:space="preserve">compression sockings 15-20mmHg </t>
  </si>
  <si>
    <t xml:space="preserve">beige </t>
  </si>
  <si>
    <t>black</t>
  </si>
  <si>
    <t>total</t>
  </si>
  <si>
    <t>s</t>
  </si>
  <si>
    <t>m</t>
  </si>
  <si>
    <t>Links</t>
  </si>
  <si>
    <t>Link</t>
  </si>
  <si>
    <t>Total</t>
  </si>
  <si>
    <t>Camisas de compresion</t>
  </si>
  <si>
    <t>Chaleco de lana</t>
  </si>
  <si>
    <t>TABLA DE COSTOS Febrero</t>
  </si>
  <si>
    <t>Camisas de compresion manga larga</t>
  </si>
  <si>
    <t>Camisas de compresion sin mangas</t>
  </si>
  <si>
    <t>Soporte de laptop</t>
  </si>
  <si>
    <t>Si</t>
  </si>
  <si>
    <t>Mochila antirobo</t>
  </si>
  <si>
    <t>si</t>
  </si>
  <si>
    <t>-</t>
  </si>
  <si>
    <t>Jogger estilo 1</t>
  </si>
  <si>
    <t>Headphones</t>
  </si>
  <si>
    <t>Origen</t>
  </si>
  <si>
    <t>link</t>
  </si>
  <si>
    <t>Camisa de compresion</t>
  </si>
  <si>
    <t>enterizo</t>
  </si>
  <si>
    <t>shorts falda mujer</t>
  </si>
  <si>
    <t>Shorts YOUNGLA</t>
  </si>
  <si>
    <t>Gym bags</t>
  </si>
  <si>
    <t>Enterizo</t>
  </si>
  <si>
    <t>Cinturon Gym</t>
  </si>
  <si>
    <t>Manga deportiva</t>
  </si>
  <si>
    <t>Pantalones Gym Dama v2</t>
  </si>
  <si>
    <t>Shorts Gymshark</t>
  </si>
  <si>
    <t>Straps</t>
  </si>
  <si>
    <t xml:space="preserve"> Gastos operativos</t>
  </si>
  <si>
    <t>gastos operativos</t>
  </si>
  <si>
    <t>valor</t>
  </si>
  <si>
    <t>deuda</t>
  </si>
  <si>
    <t>gasolina</t>
  </si>
  <si>
    <t>otros</t>
  </si>
  <si>
    <t>Tops deportivos</t>
  </si>
  <si>
    <t>Flare leggins</t>
  </si>
  <si>
    <t>Mono deportivo</t>
  </si>
  <si>
    <t>Camisa de compresion sin manga</t>
  </si>
  <si>
    <t>Camisa de compresion manga larga</t>
  </si>
  <si>
    <t>Chaleco deportivo masculino</t>
  </si>
  <si>
    <t>Licra corta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</si>
</sst>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Arial Black"/>
      <family val="2"/>
    </font>
    <font>
      <b/>
      <sz val="11"/>
      <name val="Calibri"/>
      <family val="2"/>
      <scheme val="minor"/>
    </font>
    <font>
      <sz val="11"/>
      <color theme="1"/>
      <name val="Arial Black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F573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theme="6" tint="0.59999389629810485"/>
      </patternFill>
    </fill>
    <fill>
      <patternFill patternType="solid">
        <fgColor theme="0"/>
        <bgColor theme="6" tint="0.79998168889431442"/>
      </patternFill>
    </fill>
    <fill>
      <patternFill patternType="solid">
        <fgColor rgb="FFFF6647"/>
        <bgColor indexed="64"/>
      </patternFill>
    </fill>
  </fills>
  <borders count="4">
    <border>
      <left/>
      <right/>
      <top/>
      <bottom/>
      <diagonal/>
    </border>
    <border>
      <left style="thin">
        <color theme="6" tint="0.39997558519241921"/>
      </left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 style="thin">
        <color theme="6" tint="0.39997558519241921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2" fontId="0" fillId="0" borderId="0" xfId="0" applyNumberFormat="1" applyAlignment="1">
      <alignment vertical="center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4" fillId="3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/>
    </xf>
    <xf numFmtId="0" fontId="2" fillId="6" borderId="0" xfId="0" applyFont="1" applyFill="1" applyAlignment="1">
      <alignment horizontal="left" vertical="top" wrapText="1"/>
    </xf>
    <xf numFmtId="0" fontId="0" fillId="4" borderId="1" xfId="0" applyFill="1" applyBorder="1" applyAlignment="1">
      <alignment horizontal="left" vertical="center"/>
    </xf>
    <xf numFmtId="9" fontId="0" fillId="0" borderId="0" xfId="1" applyFont="1" applyAlignment="1">
      <alignment horizontal="left" vertical="center"/>
    </xf>
    <xf numFmtId="0" fontId="0" fillId="9" borderId="2" xfId="0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0" fillId="10" borderId="2" xfId="0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" fontId="0" fillId="7" borderId="0" xfId="0" applyNumberFormat="1" applyFill="1" applyAlignment="1">
      <alignment vertical="center" wrapText="1"/>
    </xf>
    <xf numFmtId="4" fontId="0" fillId="11" borderId="0" xfId="0" applyNumberFormat="1" applyFill="1" applyAlignment="1">
      <alignment vertical="center" wrapText="1"/>
    </xf>
    <xf numFmtId="10" fontId="0" fillId="0" borderId="0" xfId="0" applyNumberFormat="1" applyAlignment="1">
      <alignment vertical="center" wrapText="1"/>
    </xf>
    <xf numFmtId="0" fontId="7" fillId="6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left" vertical="center"/>
    </xf>
    <xf numFmtId="2" fontId="0" fillId="4" borderId="1" xfId="0" applyNumberFormat="1" applyFill="1" applyBorder="1" applyAlignment="1">
      <alignment horizontal="left" vertical="center"/>
    </xf>
    <xf numFmtId="2" fontId="8" fillId="0" borderId="0" xfId="0" applyNumberFormat="1" applyFon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1" fontId="8" fillId="0" borderId="0" xfId="0" applyNumberFormat="1" applyFont="1" applyAlignment="1">
      <alignment horizontal="left" vertical="center"/>
    </xf>
    <xf numFmtId="2" fontId="0" fillId="6" borderId="0" xfId="0" applyNumberFormat="1" applyFill="1" applyAlignment="1">
      <alignment vertical="center" wrapText="1"/>
    </xf>
    <xf numFmtId="0" fontId="2" fillId="8" borderId="0" xfId="0" applyFont="1" applyFill="1" applyAlignment="1">
      <alignment horizontal="left" vertical="center"/>
    </xf>
    <xf numFmtId="0" fontId="4" fillId="8" borderId="0" xfId="0" applyFont="1" applyFill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2" fontId="2" fillId="0" borderId="0" xfId="0" applyNumberFormat="1" applyFont="1" applyAlignment="1">
      <alignment horizontal="left" vertical="center"/>
    </xf>
    <xf numFmtId="0" fontId="9" fillId="0" borderId="0" xfId="2" applyNumberFormat="1" applyAlignment="1">
      <alignment horizontal="left" vertical="center"/>
    </xf>
    <xf numFmtId="0" fontId="9" fillId="0" borderId="0" xfId="2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</cellXfs>
  <cellStyles count="3">
    <cellStyle name="Hipervínculo" xfId="2" builtinId="8"/>
    <cellStyle name="Normal" xfId="0" builtinId="0"/>
    <cellStyle name="Porcentaje" xfId="1" builtinId="5"/>
  </cellStyles>
  <dxfs count="294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2" formatCode="0.00"/>
      <alignment horizontal="left" vertical="top" textRotation="0" wrapText="1" indent="0" justifyLastLine="0" shrinkToFit="0" readingOrder="0"/>
      <border diagonalUp="0" diagonalDown="0" outline="0">
        <left/>
        <right/>
        <top/>
        <bottom/>
      </border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1" indent="0" justifyLastLine="0" shrinkToFit="0" readingOrder="0"/>
      <border diagonalUp="0" diagonalDown="0" outline="0">
        <left/>
        <right/>
        <top/>
        <bottom/>
      </border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left" vertical="top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3" formatCode="0%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3" formatCode="0%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" formatCode="0"/>
      <alignment horizontal="left" vertical="center" textRotation="0" wrapText="0" indent="0" justifyLastLine="0" shrinkToFit="0" readingOrder="0"/>
    </dxf>
    <dxf>
      <numFmt numFmtId="1" formatCode="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</font>
      <fill>
        <patternFill patternType="solid">
          <fgColor indexed="64"/>
          <bgColor theme="7" tint="0.59999389629810485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2" formatCode="0.00"/>
      <alignment horizontal="left" vertical="top" textRotation="0" wrapText="1" indent="0" justifyLastLine="0" shrinkToFit="0" readingOrder="0"/>
      <border diagonalUp="0" diagonalDown="0" outline="0">
        <left/>
        <right/>
        <top/>
        <bottom/>
      </border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1" indent="0" justifyLastLine="0" shrinkToFit="0" readingOrder="0"/>
      <border diagonalUp="0" diagonalDown="0" outline="0">
        <left/>
        <right/>
        <top/>
        <bottom/>
      </border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left" vertical="top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3" formatCode="0%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3" formatCode="0%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" formatCode="0"/>
      <alignment horizontal="left" vertical="center" textRotation="0" wrapText="0" indent="0" justifyLastLine="0" shrinkToFit="0" readingOrder="0"/>
    </dxf>
    <dxf>
      <numFmt numFmtId="1" formatCode="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</font>
      <fill>
        <patternFill patternType="solid">
          <fgColor indexed="64"/>
          <bgColor theme="7" tint="0.59999389629810485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2" formatCode="0.00"/>
      <alignment horizontal="left" vertical="top" textRotation="0" wrapText="1" indent="0" justifyLastLine="0" shrinkToFit="0" readingOrder="0"/>
      <border diagonalUp="0" diagonalDown="0" outline="0">
        <left/>
        <right/>
        <top/>
        <bottom/>
      </border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1" indent="0" justifyLastLine="0" shrinkToFit="0" readingOrder="0"/>
      <border diagonalUp="0" diagonalDown="0" outline="0">
        <left/>
        <right/>
        <top/>
        <bottom/>
      </border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3" formatCode="0%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3" formatCode="0%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" formatCode="0"/>
      <alignment horizontal="left" vertical="center" textRotation="0" wrapText="0" indent="0" justifyLastLine="0" shrinkToFit="0" readingOrder="0"/>
    </dxf>
    <dxf>
      <numFmt numFmtId="1" formatCode="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</font>
      <fill>
        <patternFill patternType="solid">
          <fgColor indexed="64"/>
          <bgColor theme="7" tint="0.59999389629810485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2" formatCode="0.00"/>
      <alignment horizontal="left" vertical="top" textRotation="0" wrapText="1" indent="0" justifyLastLine="0" shrinkToFit="0" readingOrder="0"/>
      <border diagonalUp="0" diagonalDown="0" outline="0">
        <left/>
        <right/>
        <top/>
        <bottom/>
      </border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1" indent="0" justifyLastLine="0" shrinkToFit="0" readingOrder="0"/>
      <border diagonalUp="0" diagonalDown="0" outline="0">
        <left/>
        <right/>
        <top/>
        <bottom/>
      </border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3" formatCode="0%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3" formatCode="0%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" formatCode="0"/>
      <alignment horizontal="left" vertical="center" textRotation="0" wrapText="0" indent="0" justifyLastLine="0" shrinkToFit="0" readingOrder="0"/>
    </dxf>
    <dxf>
      <numFmt numFmtId="1" formatCode="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</font>
      <fill>
        <patternFill patternType="solid">
          <fgColor indexed="64"/>
          <bgColor theme="7" tint="0.59999389629810485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2" formatCode="0.00"/>
      <alignment horizontal="left" vertical="top" textRotation="0" wrapText="1" indent="0" justifyLastLine="0" shrinkToFit="0" readingOrder="0"/>
      <border diagonalUp="0" diagonalDown="0" outline="0">
        <left/>
        <right/>
        <top/>
        <bottom/>
      </border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1" indent="0" justifyLastLine="0" shrinkToFit="0" readingOrder="0"/>
      <border diagonalUp="0" diagonalDown="0" outline="0">
        <left/>
        <right/>
        <top/>
        <bottom/>
      </border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3" formatCode="0%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3" formatCode="0%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" formatCode="0"/>
      <alignment horizontal="left" vertical="center" textRotation="0" wrapText="0" indent="0" justifyLastLine="0" shrinkToFit="0" readingOrder="0"/>
    </dxf>
    <dxf>
      <numFmt numFmtId="1" formatCode="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</font>
      <fill>
        <patternFill patternType="solid">
          <fgColor indexed="64"/>
          <bgColor theme="7" tint="0.59999389629810485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</dxf>
  </dxfs>
  <tableStyles count="3" defaultTableStyle="TableStyleMedium2" defaultPivotStyle="PivotStyleLight16">
    <tableStyle name="Estilo 1" pivot="0" count="0" xr9:uid="{8AB6A8CA-C3EC-4BBB-ACC6-D5341249C031}"/>
    <tableStyle name="estilo2" pivot="0" count="0" xr9:uid="{244BDEC7-DD17-4C59-BDAC-78865AC065F0}"/>
    <tableStyle name="mi_estilo" pivot="0" count="0" xr9:uid="{30D524D8-14B8-4996-BDBF-EAC068BF82AD}"/>
  </tableStyles>
  <colors>
    <mruColors>
      <color rgb="FFFF6647"/>
      <color rgb="FFFF5733"/>
      <color rgb="FFFFFF66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797874</xdr:colOff>
      <xdr:row>1</xdr:row>
      <xdr:rowOff>142009</xdr:rowOff>
    </xdr:from>
    <xdr:ext cx="1877785" cy="51435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672692" y="436418"/>
          <a:ext cx="1877785" cy="514350"/>
        </a:xfrm>
        <a:prstGeom prst="rect">
          <a:avLst/>
        </a:prstGeom>
        <a:solidFill>
          <a:schemeClr val="accent4">
            <a:lumMod val="60000"/>
            <a:lumOff val="40000"/>
            <a:alpha val="70000"/>
          </a:schemeClr>
        </a:solidFill>
        <a:effectLst>
          <a:outerShdw blurRad="50800" dist="38100" dir="5400000" algn="t" rotWithShape="0">
            <a:prstClr val="black">
              <a:alpha val="59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NI" sz="2000">
              <a:latin typeface="Arial Black" panose="020B0A04020102020204" pitchFamily="34" charset="0"/>
            </a:rPr>
            <a:t>La</a:t>
          </a:r>
          <a:r>
            <a:rPr lang="es-NI" sz="2000" baseline="0">
              <a:latin typeface="Arial Black" panose="020B0A04020102020204" pitchFamily="34" charset="0"/>
            </a:rPr>
            <a:t> Comarca </a:t>
          </a:r>
          <a:endParaRPr lang="es-NI" sz="2000">
            <a:latin typeface="Arial Black" panose="020B0A04020102020204" pitchFamily="34" charset="0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797874</xdr:colOff>
      <xdr:row>1</xdr:row>
      <xdr:rowOff>142009</xdr:rowOff>
    </xdr:from>
    <xdr:ext cx="1877785" cy="51435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E0FFE8A7-03BB-4DF7-8E07-9D206C0BAC98}"/>
            </a:ext>
          </a:extLst>
        </xdr:cNvPr>
        <xdr:cNvSpPr txBox="1"/>
      </xdr:nvSpPr>
      <xdr:spPr>
        <a:xfrm>
          <a:off x="3779199" y="427759"/>
          <a:ext cx="1877785" cy="514350"/>
        </a:xfrm>
        <a:prstGeom prst="rect">
          <a:avLst/>
        </a:prstGeom>
        <a:solidFill>
          <a:schemeClr val="accent4">
            <a:lumMod val="60000"/>
            <a:lumOff val="40000"/>
            <a:alpha val="70000"/>
          </a:schemeClr>
        </a:solidFill>
        <a:effectLst>
          <a:outerShdw blurRad="50800" dist="38100" dir="5400000" algn="t" rotWithShape="0">
            <a:prstClr val="black">
              <a:alpha val="59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NI" sz="2000">
              <a:latin typeface="Arial Black" panose="020B0A04020102020204" pitchFamily="34" charset="0"/>
            </a:rPr>
            <a:t>La</a:t>
          </a:r>
          <a:r>
            <a:rPr lang="es-NI" sz="2000" baseline="0">
              <a:latin typeface="Arial Black" panose="020B0A04020102020204" pitchFamily="34" charset="0"/>
            </a:rPr>
            <a:t> Comarca </a:t>
          </a:r>
          <a:endParaRPr lang="es-NI" sz="2000">
            <a:latin typeface="Arial Black" panose="020B0A04020102020204" pitchFamily="34" charset="0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797874</xdr:colOff>
      <xdr:row>2</xdr:row>
      <xdr:rowOff>142009</xdr:rowOff>
    </xdr:from>
    <xdr:ext cx="1877785" cy="51435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ECAE9D5-BFE3-4BF9-B503-2D28CA5A6682}"/>
            </a:ext>
          </a:extLst>
        </xdr:cNvPr>
        <xdr:cNvSpPr txBox="1"/>
      </xdr:nvSpPr>
      <xdr:spPr>
        <a:xfrm>
          <a:off x="3779199" y="427759"/>
          <a:ext cx="1877785" cy="514350"/>
        </a:xfrm>
        <a:prstGeom prst="rect">
          <a:avLst/>
        </a:prstGeom>
        <a:solidFill>
          <a:schemeClr val="accent4">
            <a:lumMod val="60000"/>
            <a:lumOff val="40000"/>
            <a:alpha val="70000"/>
          </a:schemeClr>
        </a:solidFill>
        <a:effectLst>
          <a:outerShdw blurRad="50800" dist="38100" dir="5400000" algn="t" rotWithShape="0">
            <a:prstClr val="black">
              <a:alpha val="59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NI" sz="2000">
              <a:latin typeface="Arial Black" panose="020B0A04020102020204" pitchFamily="34" charset="0"/>
            </a:rPr>
            <a:t>La</a:t>
          </a:r>
          <a:r>
            <a:rPr lang="es-NI" sz="2000" baseline="0">
              <a:latin typeface="Arial Black" panose="020B0A04020102020204" pitchFamily="34" charset="0"/>
            </a:rPr>
            <a:t> Comarca </a:t>
          </a:r>
          <a:endParaRPr lang="es-NI" sz="2000">
            <a:latin typeface="Arial Black" panose="020B0A04020102020204" pitchFamily="34" charset="0"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797874</xdr:colOff>
      <xdr:row>1</xdr:row>
      <xdr:rowOff>142009</xdr:rowOff>
    </xdr:from>
    <xdr:ext cx="1877785" cy="51435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FB709EBA-3FDF-4D00-A973-4464418CBC16}"/>
            </a:ext>
          </a:extLst>
        </xdr:cNvPr>
        <xdr:cNvSpPr txBox="1"/>
      </xdr:nvSpPr>
      <xdr:spPr>
        <a:xfrm>
          <a:off x="3779199" y="427759"/>
          <a:ext cx="1877785" cy="514350"/>
        </a:xfrm>
        <a:prstGeom prst="rect">
          <a:avLst/>
        </a:prstGeom>
        <a:solidFill>
          <a:schemeClr val="accent4">
            <a:lumMod val="60000"/>
            <a:lumOff val="40000"/>
            <a:alpha val="70000"/>
          </a:schemeClr>
        </a:solidFill>
        <a:effectLst>
          <a:outerShdw blurRad="50800" dist="38100" dir="5400000" algn="t" rotWithShape="0">
            <a:prstClr val="black">
              <a:alpha val="59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NI" sz="2000">
              <a:latin typeface="Arial Black" panose="020B0A04020102020204" pitchFamily="34" charset="0"/>
            </a:rPr>
            <a:t>La</a:t>
          </a:r>
          <a:r>
            <a:rPr lang="es-NI" sz="2000" baseline="0">
              <a:latin typeface="Arial Black" panose="020B0A04020102020204" pitchFamily="34" charset="0"/>
            </a:rPr>
            <a:t> Comarca </a:t>
          </a:r>
          <a:endParaRPr lang="es-NI" sz="2000">
            <a:latin typeface="Arial Black" panose="020B0A04020102020204" pitchFamily="34" charset="0"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797874</xdr:colOff>
      <xdr:row>1</xdr:row>
      <xdr:rowOff>142009</xdr:rowOff>
    </xdr:from>
    <xdr:ext cx="1877785" cy="51435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9BADFB27-4D4B-4434-8D26-11BF5369B0A9}"/>
            </a:ext>
          </a:extLst>
        </xdr:cNvPr>
        <xdr:cNvSpPr txBox="1"/>
      </xdr:nvSpPr>
      <xdr:spPr>
        <a:xfrm>
          <a:off x="3741099" y="427759"/>
          <a:ext cx="1877785" cy="514350"/>
        </a:xfrm>
        <a:prstGeom prst="rect">
          <a:avLst/>
        </a:prstGeom>
        <a:solidFill>
          <a:schemeClr val="accent4">
            <a:lumMod val="60000"/>
            <a:lumOff val="40000"/>
            <a:alpha val="70000"/>
          </a:schemeClr>
        </a:solidFill>
        <a:effectLst>
          <a:outerShdw blurRad="50800" dist="38100" dir="5400000" algn="t" rotWithShape="0">
            <a:prstClr val="black">
              <a:alpha val="59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NI" sz="2000">
              <a:latin typeface="Arial Black" panose="020B0A04020102020204" pitchFamily="34" charset="0"/>
            </a:rPr>
            <a:t>La</a:t>
          </a:r>
          <a:r>
            <a:rPr lang="es-NI" sz="2000" baseline="0">
              <a:latin typeface="Arial Black" panose="020B0A04020102020204" pitchFamily="34" charset="0"/>
            </a:rPr>
            <a:t> Comarca </a:t>
          </a:r>
          <a:endParaRPr lang="es-NI" sz="2000">
            <a:latin typeface="Arial Black" panose="020B0A04020102020204" pitchFamily="34" charset="0"/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4C6148E-1362-4895-A049-4FF7AA7348D5}" name="costos_var21606" displayName="costos_var21606" ref="A7:V20" headerRowDxfId="234" dataDxfId="233" totalsRowDxfId="232">
  <tableColumns count="22">
    <tableColumn id="1" xr3:uid="{ACD9BBDC-75E4-4401-B85D-71D3FBB85C50}" name="Producto" totalsRowLabel="Total" dataDxfId="231" totalsRowDxfId="230"/>
    <tableColumn id="3" xr3:uid="{5CD08612-9286-40BB-88AA-E1BC6ACF038E}" name="Peso del producto en Kg" totalsRowFunction="custom" dataDxfId="229" totalsRowDxfId="228">
      <totalsRowFormula>SUM(B17:B20)</totalsRowFormula>
    </tableColumn>
    <tableColumn id="4" xr3:uid="{4FA173DC-50B6-4175-B93B-14EDFC5821BC}" name="Peso Unitario (libras)" totalsRowFunction="custom" dataDxfId="227" totalsRowDxfId="226">
      <calculatedColumnFormula>costos_var21606[[#This Row],[Peso del producto en Kg]]*2.2</calculatedColumnFormula>
      <totalsRowFormula>SUM(C17:C20)</totalsRowFormula>
    </tableColumn>
    <tableColumn id="12" xr3:uid="{927C09E0-8883-411A-B5F9-DB21DBD1702A}" name="Peso total en Kg" totalsRowFunction="custom" dataDxfId="225" totalsRowDxfId="224">
      <calculatedColumnFormula>costos_var21606[[#This Row],[Cantidad]]*costos_var21606[[#This Row],[Peso del producto en Kg]]</calculatedColumnFormula>
      <totalsRowFormula>SUM(D17:D20)</totalsRowFormula>
    </tableColumn>
    <tableColumn id="5" xr3:uid="{5EAFB995-FEC8-457B-B1E2-E77AEA2ECDE2}" name="Peso total (libras)" totalsRowFunction="custom" dataDxfId="223" totalsRowDxfId="222">
      <calculatedColumnFormula>PRODUCT(F8,C8)</calculatedColumnFormula>
      <totalsRowFormula>SUM(E17:E20)</totalsRowFormula>
    </tableColumn>
    <tableColumn id="2" xr3:uid="{7B9941C1-D994-416A-A066-50E07C70F39A}" name="Cantidad" totalsRowFunction="custom" dataDxfId="221" totalsRowDxfId="220">
      <totalsRowFormula>SUM(F17:F20)</totalsRowFormula>
    </tableColumn>
    <tableColumn id="9" xr3:uid="{31DD7F23-FCDE-41CE-BB7C-0209811EEFD0}" name="Costo Unitario ($)" dataDxfId="219" totalsRowDxfId="218"/>
    <tableColumn id="10" xr3:uid="{DE6E8356-3C98-4D84-B151-17700FAA14DE}" name="Costo Total" totalsRowFunction="custom" dataDxfId="217" totalsRowDxfId="216">
      <calculatedColumnFormula>costos_var21606[[#This Row],[Cantidad]]*costos_var21606[[#This Row],[Costo Unitario ($)]]</calculatedColumnFormula>
      <totalsRowFormula>SUM(H17:H20)</totalsRowFormula>
    </tableColumn>
    <tableColumn id="19" xr3:uid="{EAB7DA1A-FD5D-4244-AF32-B985BC4680D5}" name="comisión sobre transacción " totalsRowFunction="custom" dataDxfId="215" totalsRowDxfId="214">
      <calculatedColumnFormula>costos_var21606[[#This Row],[Costo Total]]*0.0295</calculatedColumnFormula>
      <totalsRowFormula>SUM(I17:I20)</totalsRowFormula>
    </tableColumn>
    <tableColumn id="20" xr3:uid="{C8BE5146-16E4-49DF-81AF-F8549A18E9DB}" name="costo de envío interno en china " totalsRowFunction="custom" dataDxfId="213" totalsRowDxfId="212">
      <calculatedColumnFormula>costos_var21606[[#This Row],[Costo Total]]*0.03</calculatedColumnFormula>
      <totalsRowFormula>SUM(J17:J20)</totalsRowFormula>
    </tableColumn>
    <tableColumn id="21" xr3:uid="{77FCFDC0-158F-45D0-9B22-6B251DA65097}" name="Costo total total al almacen " totalsRowFunction="custom" dataDxfId="211" totalsRowDxfId="210">
      <calculatedColumnFormula>SUM(costos_var21606[[#This Row],[Costo Total]],costos_var21606[[#This Row],[comisión sobre transacción ]],costos_var21606[[#This Row],[costo de envío interno en china ]])</calculatedColumnFormula>
      <totalsRowFormula>SUM(K17:K20)</totalsRowFormula>
    </tableColumn>
    <tableColumn id="11" xr3:uid="{70769F83-F2C3-4225-A786-5D85364378AA}" name="Costo Envío China-USA" totalsRowFunction="custom" dataDxfId="209" totalsRowDxfId="208">
      <calculatedColumnFormula>1.4*costos_var21606[[#This Row],[Peso total (libras)]]</calculatedColumnFormula>
      <totalsRowFormula>SUM(L17:L20)</totalsRowFormula>
    </tableColumn>
    <tableColumn id="6" xr3:uid="{31344AD1-A79E-42EA-8CFB-25624FE094FD}" name="Costo Envío  USA-NIC ($)" totalsRowFunction="custom" dataDxfId="207" totalsRowDxfId="206">
      <calculatedColumnFormula>costos_var21606[[#This Row],[Peso total (libras)]]*$E$31</calculatedColumnFormula>
      <totalsRowFormula>SUM(M17:M20)</totalsRowFormula>
    </tableColumn>
    <tableColumn id="7" xr3:uid="{1F8A1126-A1E6-421E-9D8F-E8084B851536}" name="Costo envío Total ($)" totalsRowFunction="custom" dataDxfId="205" totalsRowDxfId="204">
      <calculatedColumnFormula>SUM(costos_var21606[[#This Row],[Costo Envío China-USA]],costos_var21606[[#This Row],[Costo Envío  USA-NIC ($)]])</calculatedColumnFormula>
      <totalsRowFormula>SUM(N17:N20)</totalsRowFormula>
    </tableColumn>
    <tableColumn id="8" xr3:uid="{1139DF6F-D7C3-4043-A658-AACEF72B85B5}" name="Costo Total Lote ($)" totalsRowFunction="custom" dataDxfId="203" totalsRowDxfId="202">
      <calculatedColumnFormula>SUM(costos_var21606[[#This Row],[Costo envío Total ($)]], costos_var21606[[#This Row],[Costo Total]], costos_var21606[[#This Row],[comisión sobre transacción ]], costos_var21606[[#This Row],[costo de envío interno en china ]])</calculatedColumnFormula>
      <totalsRowFormula>SUM(O17:O20)</totalsRowFormula>
    </tableColumn>
    <tableColumn id="15" xr3:uid="{4DF5C169-9CF9-4FB8-8CDE-AB10072FF077}" name="Costo Unitario NIC" totalsRowFunction="custom" dataDxfId="201" totalsRowDxfId="200">
      <calculatedColumnFormula>costos_var21606[[#This Row],[Costo Total Lote ($)]]/costos_var21606[[#This Row],[Cantidad]]</calculatedColumnFormula>
      <totalsRowFormula>SUM(P17:P20)</totalsRowFormula>
    </tableColumn>
    <tableColumn id="13" xr3:uid="{366F0AD4-AA29-4E07-978A-F000AAC69C97}" name="Precio de venta" totalsRowFunction="custom" dataDxfId="199" totalsRowDxfId="198">
      <totalsRowFormula>SUM(Q17:Q20)</totalsRowFormula>
    </tableColumn>
    <tableColumn id="14" xr3:uid="{9B0C9878-438B-4FD9-B4B8-C8DEFD2BAB7B}" name="Ingreso total  por producto" totalsRowFunction="custom" dataDxfId="197" totalsRowDxfId="196">
      <calculatedColumnFormula>costos_var21606[[#This Row],[Cantidad]]*costos_var21606[[#This Row],[Precio de venta]]</calculatedColumnFormula>
      <totalsRowFormula>SUM(R17:R20)</totalsRowFormula>
    </tableColumn>
    <tableColumn id="16" xr3:uid="{930299E9-E02A-4C30-BE96-93FC511D4E04}" name="utilidad por producto" totalsRowFunction="custom" dataDxfId="195" totalsRowDxfId="194">
      <calculatedColumnFormula>costos_var21606[[#This Row],[Ingreso total  por producto]]-costos_var21606[[#This Row],[Costo Total Lote ($)]]</calculatedColumnFormula>
      <totalsRowFormula>SUM(S17:S20)</totalsRowFormula>
    </tableColumn>
    <tableColumn id="17" xr3:uid="{9D078A04-4A84-4EB7-99E7-852C871106AB}" name="margen sobre costros por producto" totalsRowFunction="average" dataDxfId="193" totalsRowDxfId="192">
      <calculatedColumnFormula>((costos_var21606[[#This Row],[Precio de venta]]-costos_var21606[[#This Row],[Costo Unitario NIC]])/costos_var21606[[#This Row],[Costo Unitario NIC]])</calculatedColumnFormula>
    </tableColumn>
    <tableColumn id="18" xr3:uid="{B7B0F2BD-B633-4152-AA13-94485F82F16E}" name="margen sobre ventas por productos" totalsRowFunction="average" dataDxfId="191" totalsRowDxfId="190">
      <calculatedColumnFormula>((costos_var21606[[#This Row],[Precio de venta]]-costos_var21606[[#This Row],[Costo Unitario NIC]])/costos_var21606[[#This Row],[Precio de venta]])</calculatedColumnFormula>
    </tableColumn>
    <tableColumn id="22" xr3:uid="{5F3FDE28-4B34-4217-8705-B673CF01BBBE}" name="Links" dataDxfId="189" totalsRowDxfId="188"/>
  </tableColumns>
  <tableStyleInfo name="TableStyleMedium2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654CDAE-46E0-4543-9E20-FC47B21D8FC0}" name="costos_fij22617" displayName="costos_fij22617" ref="D30:E32" totalsRowShown="0" headerRowDxfId="187" dataDxfId="186" totalsRowDxfId="185">
  <tableColumns count="2">
    <tableColumn id="1" xr3:uid="{5ECAC033-F9D8-44DD-A568-39AD04EBB54E}" name="COSTOS x libra" dataDxfId="184" totalsRowDxfId="183"/>
    <tableColumn id="3" xr3:uid="{54220F22-A3F3-4939-8123-8B701726889C}" name="Cantidad (Dólares)" dataDxfId="182" totalsRowDxfId="181"/>
  </tableColumns>
  <tableStyleInfo name="TableStyleMedium2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936370-FA7F-4E88-A2C5-AB8E4653D94C}" name="Tabla4" displayName="Tabla4" ref="A29:B44" totalsRowShown="0" headerRowDxfId="180" dataDxfId="179">
  <tableColumns count="2">
    <tableColumn id="1" xr3:uid="{DDF53F04-0C6C-47A5-BBF7-0E55365641D3}" name="Concepto" dataDxfId="178"/>
    <tableColumn id="2" xr3:uid="{0BB4DE8E-245C-4B49-A594-84B3EB893542}" name="Monto (USD)" dataDxfId="17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36D2DCA-98FF-4218-9126-09E017845381}" name="Tabla15" displayName="Tabla15" ref="H38:J41" totalsRowShown="0" headerRowDxfId="176">
  <tableColumns count="3">
    <tableColumn id="1" xr3:uid="{E463CEA3-E267-45AD-B676-D90F7BDF2C72}" name="compression sockings 15-20mmHg "/>
    <tableColumn id="2" xr3:uid="{A7D095B2-A9D9-4DB2-AFD6-56ADACB4F0A9}" name="beige "/>
    <tableColumn id="3" xr3:uid="{A9C0761D-BA82-44B4-B498-4874FA6FE38C}" name="blac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81B91F5-85AC-4929-BEB3-E7DFFA311AE7}" name="costos_var2160615" displayName="costos_var2160615" ref="A7:V20" headerRowDxfId="293" dataDxfId="292" totalsRowDxfId="291">
  <tableColumns count="22">
    <tableColumn id="1" xr3:uid="{CF65DAEE-A30F-4E56-968D-BC673197DA52}" name="Producto" totalsRowLabel="Total" dataDxfId="290" totalsRowDxfId="289"/>
    <tableColumn id="3" xr3:uid="{0DA2B9C9-F9C9-487A-AE59-CB060B7AF82C}" name="Peso del producto en Kg" totalsRowFunction="custom" dataDxfId="288" totalsRowDxfId="287">
      <totalsRowFormula>SUM(B17:B20)</totalsRowFormula>
    </tableColumn>
    <tableColumn id="4" xr3:uid="{3B78DA4B-5F7E-4D01-AF83-FD91AE15E429}" name="Peso Unitario (libras)" totalsRowFunction="custom" dataDxfId="286" totalsRowDxfId="285">
      <calculatedColumnFormula>costos_var2160615[[#This Row],[Peso del producto en Kg]]*2.2</calculatedColumnFormula>
      <totalsRowFormula>SUM(C17:C20)</totalsRowFormula>
    </tableColumn>
    <tableColumn id="12" xr3:uid="{6BC4884F-2ACC-414C-BDA9-AEDEAFBAC982}" name="Peso total en Kg" totalsRowFunction="custom" dataDxfId="284" totalsRowDxfId="283">
      <calculatedColumnFormula>costos_var2160615[[#This Row],[Cantidad]]*costos_var2160615[[#This Row],[Peso del producto en Kg]]</calculatedColumnFormula>
      <totalsRowFormula>SUM(D17:D20)</totalsRowFormula>
    </tableColumn>
    <tableColumn id="5" xr3:uid="{3A33AB06-9148-41B9-B258-2FA60234D812}" name="Peso total (libras)" totalsRowFunction="custom" dataDxfId="282" totalsRowDxfId="281">
      <calculatedColumnFormula>PRODUCT(F8,C8)</calculatedColumnFormula>
      <totalsRowFormula>SUM(E17:E20)</totalsRowFormula>
    </tableColumn>
    <tableColumn id="2" xr3:uid="{BBB34934-C3FD-4054-A6F4-2243839D382C}" name="Cantidad" totalsRowFunction="custom" dataDxfId="280" totalsRowDxfId="279">
      <totalsRowFormula>SUM(F17:F20)</totalsRowFormula>
    </tableColumn>
    <tableColumn id="9" xr3:uid="{5BF68E5E-109A-4A9E-A08F-AB50A6891AC3}" name="Costo Unitario ($)" dataDxfId="278" totalsRowDxfId="277"/>
    <tableColumn id="10" xr3:uid="{44B49AF5-A24B-488A-B149-B17957AA7BEF}" name="Costo Total" totalsRowFunction="custom" dataDxfId="276" totalsRowDxfId="275">
      <calculatedColumnFormula>costos_var2160615[[#This Row],[Cantidad]]*costos_var2160615[[#This Row],[Costo Unitario ($)]]</calculatedColumnFormula>
      <totalsRowFormula>SUM(H17:H20)</totalsRowFormula>
    </tableColumn>
    <tableColumn id="19" xr3:uid="{1FC25636-21FD-4338-81BA-02E5B09B93E4}" name="comisión sobre transacción " totalsRowFunction="custom" dataDxfId="274" totalsRowDxfId="273">
      <calculatedColumnFormula>costos_var2160615[[#This Row],[Costo Total]]*0.0295</calculatedColumnFormula>
      <totalsRowFormula>SUM(I17:I20)</totalsRowFormula>
    </tableColumn>
    <tableColumn id="20" xr3:uid="{5FE3028F-A4A8-4BE1-A376-44071954973F}" name="costo de envío interno en china " totalsRowFunction="custom" dataDxfId="272" totalsRowDxfId="271">
      <calculatedColumnFormula>costos_var2160615[[#This Row],[Costo Total]]*0.03</calculatedColumnFormula>
      <totalsRowFormula>SUM(J17:J20)</totalsRowFormula>
    </tableColumn>
    <tableColumn id="21" xr3:uid="{A1A5FF4F-B45E-4665-8568-3DE5BB2CFA98}" name="Costo total total al almacen " totalsRowFunction="custom" dataDxfId="270" totalsRowDxfId="269">
      <calculatedColumnFormula>SUM(costos_var2160615[[#This Row],[Costo Total]],costos_var2160615[[#This Row],[comisión sobre transacción ]],costos_var2160615[[#This Row],[costo de envío interno en china ]])</calculatedColumnFormula>
      <totalsRowFormula>SUM(K17:K20)</totalsRowFormula>
    </tableColumn>
    <tableColumn id="11" xr3:uid="{F0BA1485-DF33-4A24-8B6E-B4CF91A251C2}" name="Costo Envío China-USA" totalsRowFunction="custom" dataDxfId="268" totalsRowDxfId="267">
      <calculatedColumnFormula>1.4*costos_var2160615[[#This Row],[Peso total (libras)]]</calculatedColumnFormula>
      <totalsRowFormula>SUM(L17:L20)</totalsRowFormula>
    </tableColumn>
    <tableColumn id="6" xr3:uid="{594AE70A-3A85-441B-944B-C8426ADA54DE}" name="Costo Envío  USA-NIC ($)" totalsRowFunction="custom" dataDxfId="266" totalsRowDxfId="265">
      <calculatedColumnFormula>costos_var2160615[[#This Row],[Peso total (libras)]]*$E$31</calculatedColumnFormula>
      <totalsRowFormula>SUM(M17:M20)</totalsRowFormula>
    </tableColumn>
    <tableColumn id="7" xr3:uid="{C7A80B56-24DE-478D-AD13-9C51DBF52075}" name="Costo envío Total ($)" totalsRowFunction="custom" dataDxfId="264" totalsRowDxfId="263">
      <calculatedColumnFormula>SUM(costos_var2160615[[#This Row],[Costo Envío China-USA]],costos_var2160615[[#This Row],[Costo Envío  USA-NIC ($)]])</calculatedColumnFormula>
      <totalsRowFormula>SUM(N17:N20)</totalsRowFormula>
    </tableColumn>
    <tableColumn id="8" xr3:uid="{5A00F4DB-B2DB-42B0-850C-50A9C54B47EA}" name="Costo Total Lote ($)" totalsRowFunction="custom" dataDxfId="262" totalsRowDxfId="261">
      <calculatedColumnFormula>SUM(costos_var2160615[[#This Row],[Costo envío Total ($)]], costos_var2160615[[#This Row],[Costo Total]], costos_var2160615[[#This Row],[comisión sobre transacción ]], costos_var2160615[[#This Row],[costo de envío interno en china ]])</calculatedColumnFormula>
      <totalsRowFormula>SUM(O17:O20)</totalsRowFormula>
    </tableColumn>
    <tableColumn id="15" xr3:uid="{82F23223-D9AF-4124-B681-89A201478E24}" name="Costo Unitario NIC" totalsRowFunction="custom" dataDxfId="260" totalsRowDxfId="259">
      <calculatedColumnFormula>costos_var2160615[[#This Row],[Costo Total Lote ($)]]/costos_var2160615[[#This Row],[Cantidad]]</calculatedColumnFormula>
      <totalsRowFormula>SUM(P17:P20)</totalsRowFormula>
    </tableColumn>
    <tableColumn id="13" xr3:uid="{BD2C991D-0239-4F49-B466-FE3AD8220BC8}" name="Precio de venta" totalsRowFunction="custom" dataDxfId="258" totalsRowDxfId="257">
      <totalsRowFormula>SUM(Q17:Q20)</totalsRowFormula>
    </tableColumn>
    <tableColumn id="14" xr3:uid="{5FB1200A-E8E3-4458-A611-09EE77B6A6C9}" name="Ingreso total  por producto" totalsRowFunction="custom" dataDxfId="256" totalsRowDxfId="255">
      <calculatedColumnFormula>costos_var2160615[[#This Row],[Cantidad]]*costos_var2160615[[#This Row],[Precio de venta]]</calculatedColumnFormula>
      <totalsRowFormula>SUM(R17:R20)</totalsRowFormula>
    </tableColumn>
    <tableColumn id="16" xr3:uid="{03C2FC2D-CCD8-4A4C-A358-14FFCAF3284A}" name="utilidad por producto" totalsRowFunction="custom" dataDxfId="254" totalsRowDxfId="253">
      <calculatedColumnFormula>costos_var2160615[[#This Row],[Ingreso total  por producto]]-costos_var2160615[[#This Row],[Costo Total Lote ($)]]</calculatedColumnFormula>
      <totalsRowFormula>SUM(S17:S20)</totalsRowFormula>
    </tableColumn>
    <tableColumn id="17" xr3:uid="{61821B82-8C19-4A67-9ADC-7257BD2E136D}" name="margen sobre costros por producto" totalsRowFunction="average" dataDxfId="252" totalsRowDxfId="251">
      <calculatedColumnFormula>((costos_var2160615[[#This Row],[Precio de venta]]-costos_var2160615[[#This Row],[Costo Unitario NIC]])/costos_var2160615[[#This Row],[Costo Unitario NIC]])</calculatedColumnFormula>
    </tableColumn>
    <tableColumn id="18" xr3:uid="{870C5410-E9B5-4B35-B0DE-EECA57E56584}" name="margen sobre ventas por productos" totalsRowFunction="average" dataDxfId="250" totalsRowDxfId="249">
      <calculatedColumnFormula>((costos_var2160615[[#This Row],[Precio de venta]]-costos_var2160615[[#This Row],[Costo Unitario NIC]])/costos_var2160615[[#This Row],[Precio de venta]])</calculatedColumnFormula>
    </tableColumn>
    <tableColumn id="22" xr3:uid="{FE05585C-D740-450D-9E13-404907C2DF27}" name="Links" dataDxfId="248" totalsRowDxfId="247"/>
  </tableColumns>
  <tableStyleInfo name="TableStyleMedium2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C8A1685-9C15-4506-8A7D-746E98DFCBDF}" name="costos_fij2261717" displayName="costos_fij2261717" ref="D30:E32" totalsRowShown="0" headerRowDxfId="246" dataDxfId="245" totalsRowDxfId="244">
  <tableColumns count="2">
    <tableColumn id="1" xr3:uid="{DD28837F-5AFE-4D9D-8F8E-A272C7FF60EF}" name="COSTOS x libra" dataDxfId="243" totalsRowDxfId="242"/>
    <tableColumn id="3" xr3:uid="{3C01E114-2080-425F-A6AB-CBD4579FFC14}" name="Cantidad (Dólares)" dataDxfId="241" totalsRowDxfId="240"/>
  </tableColumns>
  <tableStyleInfo name="TableStyleMedium2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4E745E2-EE52-4565-924E-F8268D1DF19C}" name="Tabla418" displayName="Tabla418" ref="A29:B44" totalsRowShown="0" headerRowDxfId="239" dataDxfId="238">
  <tableColumns count="2">
    <tableColumn id="1" xr3:uid="{26FAD803-B308-473D-B506-742690CC61CA}" name="Concepto" dataDxfId="237"/>
    <tableColumn id="2" xr3:uid="{11E42EB0-93BB-4FF2-82B9-BCC52CF211EA}" name="Monto (USD)" dataDxfId="23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15BB47D-54C1-4010-A8DF-CEA6B79AAFD5}" name="Tabla1523" displayName="Tabla1523" ref="H38:I41" totalsRowShown="0" headerRowDxfId="235">
  <tableColumns count="2">
    <tableColumn id="1" xr3:uid="{E71744EB-0B4C-428A-982F-7E906942723E}" name="gastos operativos"/>
    <tableColumn id="2" xr3:uid="{1E490D46-B606-4597-ADF0-5B7AADACB558}" name="valor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65E353-827F-4C24-9B6A-CF424A4EF108}" name="costos_var216062" displayName="costos_var216062" ref="B8:W21" headerRowDxfId="175" dataDxfId="174" totalsRowDxfId="173">
  <tableColumns count="22">
    <tableColumn id="1" xr3:uid="{99837A23-2DB1-4270-B38A-98A7BCFB176E}" name="Producto" totalsRowLabel="Total" dataDxfId="172" totalsRowDxfId="171"/>
    <tableColumn id="3" xr3:uid="{5DD3EE10-98D2-4A64-8751-1DE6A2E99A3A}" name="Peso del producto en Kg" totalsRowFunction="custom" dataDxfId="170" totalsRowDxfId="169">
      <totalsRowFormula>SUM(C18:C21)</totalsRowFormula>
    </tableColumn>
    <tableColumn id="4" xr3:uid="{18513FF0-03E9-401C-AD2B-D847A0F65F7C}" name="Peso Unitario (libras)" totalsRowFunction="custom" dataDxfId="168" totalsRowDxfId="167">
      <calculatedColumnFormula>costos_var216062[[#This Row],[Peso del producto en Kg]]*2.2</calculatedColumnFormula>
      <totalsRowFormula>SUM(D18:D21)</totalsRowFormula>
    </tableColumn>
    <tableColumn id="12" xr3:uid="{4A54E670-95D2-4644-9405-CD6200D6A5E3}" name="Peso total en Kg" totalsRowFunction="custom" dataDxfId="166" totalsRowDxfId="165">
      <calculatedColumnFormula>costos_var216062[[#This Row],[Cantidad]]*costos_var216062[[#This Row],[Peso del producto en Kg]]</calculatedColumnFormula>
      <totalsRowFormula>SUM(E18:E21)</totalsRowFormula>
    </tableColumn>
    <tableColumn id="5" xr3:uid="{758025E4-F0E2-485C-B749-6081ED592CA6}" name="Peso total (libras)" totalsRowFunction="custom" dataDxfId="164" totalsRowDxfId="163">
      <calculatedColumnFormula>PRODUCT(G9,D9)</calculatedColumnFormula>
      <totalsRowFormula>SUM(F18:F21)</totalsRowFormula>
    </tableColumn>
    <tableColumn id="2" xr3:uid="{7131DD32-0E2C-48A7-B2B1-A0A50EE78182}" name="Cantidad" totalsRowFunction="custom" dataDxfId="162" totalsRowDxfId="161">
      <totalsRowFormula>SUM(G18:G21)</totalsRowFormula>
    </tableColumn>
    <tableColumn id="9" xr3:uid="{1605E5B6-759A-427B-8F39-1B04466E64EE}" name="Costo Unitario ($)" dataDxfId="160" totalsRowDxfId="159"/>
    <tableColumn id="10" xr3:uid="{195C7BB4-71D3-485E-B13D-854A62E21DF2}" name="Costo Total" totalsRowFunction="custom" dataDxfId="158" totalsRowDxfId="157">
      <calculatedColumnFormula>costos_var216062[[#This Row],[Cantidad]]*costos_var216062[[#This Row],[Costo Unitario ($)]]</calculatedColumnFormula>
      <totalsRowFormula>SUM(I18:I21)</totalsRowFormula>
    </tableColumn>
    <tableColumn id="19" xr3:uid="{E15A8D2E-6677-4D4B-BDB3-5C87F33B3C46}" name="comisión sobre transacción " totalsRowFunction="custom" dataDxfId="156" totalsRowDxfId="155">
      <calculatedColumnFormula>costos_var216062[[#This Row],[Costo Total]]*0.0295</calculatedColumnFormula>
      <totalsRowFormula>SUM(J18:J21)</totalsRowFormula>
    </tableColumn>
    <tableColumn id="20" xr3:uid="{F8079799-2F70-4937-AC92-B9A2BC87924A}" name="costo de envío interno en china " totalsRowFunction="custom" dataDxfId="154" totalsRowDxfId="153">
      <calculatedColumnFormula>costos_var216062[[#This Row],[Costo Total]]*0.03</calculatedColumnFormula>
      <totalsRowFormula>SUM(K18:K21)</totalsRowFormula>
    </tableColumn>
    <tableColumn id="21" xr3:uid="{959EC325-6609-43B6-A41C-9F192F45FF22}" name="Costo total total al almacen " totalsRowFunction="custom" dataDxfId="152" totalsRowDxfId="151">
      <calculatedColumnFormula>SUM(costos_var216062[[#This Row],[Costo Total]],costos_var216062[[#This Row],[comisión sobre transacción ]],costos_var216062[[#This Row],[costo de envío interno en china ]])</calculatedColumnFormula>
      <totalsRowFormula>SUM(L18:L21)</totalsRowFormula>
    </tableColumn>
    <tableColumn id="11" xr3:uid="{D3DE9823-5FD5-4923-8772-9D2564A544D0}" name="Costo Envío China-USA" totalsRowFunction="custom" dataDxfId="150" totalsRowDxfId="149">
      <calculatedColumnFormula>1.4*costos_var216062[[#This Row],[Peso total (libras)]]</calculatedColumnFormula>
      <totalsRowFormula>SUM(M18:M21)</totalsRowFormula>
    </tableColumn>
    <tableColumn id="6" xr3:uid="{DDBEB6F7-601A-46EC-998B-F8953BDCC4A6}" name="Costo Envío  USA-NIC ($)" totalsRowFunction="custom" dataDxfId="148" totalsRowDxfId="147">
      <calculatedColumnFormula>costos_var216062[[#This Row],[Peso total (libras)]]*$E$31</calculatedColumnFormula>
      <totalsRowFormula>SUM(N18:N21)</totalsRowFormula>
    </tableColumn>
    <tableColumn id="7" xr3:uid="{56B81886-C3AF-4A70-B018-7D6AD940950D}" name="Costo envío Total ($)" totalsRowFunction="custom" dataDxfId="146" totalsRowDxfId="145">
      <calculatedColumnFormula>SUM(costos_var216062[[#This Row],[Costo Envío China-USA]],costos_var216062[[#This Row],[Costo Envío  USA-NIC ($)]])</calculatedColumnFormula>
      <totalsRowFormula>SUM(O18:O21)</totalsRowFormula>
    </tableColumn>
    <tableColumn id="8" xr3:uid="{9409D975-734B-400D-BB69-09092D468D5D}" name="Costo Total Lote ($)" totalsRowFunction="custom" dataDxfId="144" totalsRowDxfId="143">
      <calculatedColumnFormula>SUM(costos_var216062[[#This Row],[Costo envío Total ($)]], costos_var216062[[#This Row],[Costo Total]], costos_var216062[[#This Row],[comisión sobre transacción ]], costos_var216062[[#This Row],[costo de envío interno en china ]])</calculatedColumnFormula>
      <totalsRowFormula>SUM(P18:P21)</totalsRowFormula>
    </tableColumn>
    <tableColumn id="15" xr3:uid="{CC27816B-F4FE-497D-B9D5-188167EE9491}" name="Costo Unitario NIC" totalsRowFunction="custom" dataDxfId="142" totalsRowDxfId="141">
      <calculatedColumnFormula>costos_var216062[[#This Row],[Costo Total Lote ($)]]/costos_var216062[[#This Row],[Cantidad]]</calculatedColumnFormula>
      <totalsRowFormula>SUM(Q18:Q21)</totalsRowFormula>
    </tableColumn>
    <tableColumn id="13" xr3:uid="{827FFCD0-4938-40BC-B14A-C4F6B9EDE9A0}" name="Precio de venta" totalsRowFunction="custom" dataDxfId="140" totalsRowDxfId="139">
      <totalsRowFormula>SUM(R18:R21)</totalsRowFormula>
    </tableColumn>
    <tableColumn id="14" xr3:uid="{00E3101E-695F-418C-B164-071DD6E91183}" name="Ingreso total  por producto" totalsRowFunction="custom" dataDxfId="138" totalsRowDxfId="137">
      <calculatedColumnFormula>costos_var216062[[#This Row],[Cantidad]]*costos_var216062[[#This Row],[Precio de venta]]</calculatedColumnFormula>
      <totalsRowFormula>SUM(S18:S21)</totalsRowFormula>
    </tableColumn>
    <tableColumn id="16" xr3:uid="{5191D4AE-FC94-46E2-B77B-FFBD2AD62B7B}" name="utilidad por producto" totalsRowFunction="custom" dataDxfId="136" totalsRowDxfId="135">
      <calculatedColumnFormula>costos_var216062[[#This Row],[Ingreso total  por producto]]-costos_var216062[[#This Row],[Costo Total Lote ($)]]</calculatedColumnFormula>
      <totalsRowFormula>SUM(T18:T21)</totalsRowFormula>
    </tableColumn>
    <tableColumn id="17" xr3:uid="{C9E8692B-40A2-4A7C-9494-418285E80332}" name="margen sobre costros por producto" totalsRowFunction="average" dataDxfId="134" totalsRowDxfId="133">
      <calculatedColumnFormula>((costos_var216062[[#This Row],[Precio de venta]]-costos_var216062[[#This Row],[Costo Unitario NIC]])/costos_var216062[[#This Row],[Costo Unitario NIC]])</calculatedColumnFormula>
    </tableColumn>
    <tableColumn id="18" xr3:uid="{25D22F9F-4ACE-4E49-A549-6A7C03779FF9}" name="margen sobre ventas por productos" totalsRowFunction="average" dataDxfId="132" totalsRowDxfId="131">
      <calculatedColumnFormula>((costos_var216062[[#This Row],[Precio de venta]]-costos_var216062[[#This Row],[Costo Unitario NIC]])/costos_var216062[[#This Row],[Precio de venta]])</calculatedColumnFormula>
    </tableColumn>
    <tableColumn id="22" xr3:uid="{3F59FEAC-AD35-4FB9-B178-4C10240B3F89}" name="Links" dataDxfId="130" totalsRowDxfId="129"/>
  </tableColumns>
  <tableStyleInfo name="TableStyleMedium2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10D6DE3-FD25-494C-9283-94DEDDCD9F09}" name="costos_fij226178" displayName="costos_fij226178" ref="D30:E32" totalsRowShown="0" headerRowDxfId="128" dataDxfId="127" totalsRowDxfId="126">
  <tableColumns count="2">
    <tableColumn id="1" xr3:uid="{6D4944D5-7C60-4F92-A816-631E6406B0D6}" name="COSTOS x libra" dataDxfId="125" totalsRowDxfId="124"/>
    <tableColumn id="3" xr3:uid="{39EA39E4-614C-4F18-BB84-10A12B1C1142}" name="Cantidad (Dólares)" dataDxfId="123" totalsRowDxfId="122"/>
  </tableColumns>
  <tableStyleInfo name="TableStyleMedium2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83D6FB4-181C-4824-B8D9-38FC9896E367}" name="Tabla49" displayName="Tabla49" ref="A29:B44" totalsRowShown="0" headerRowDxfId="121" dataDxfId="120">
  <tableColumns count="2">
    <tableColumn id="1" xr3:uid="{EA4907C3-B663-4FF7-A371-9E4CA2B6541C}" name="Concepto" dataDxfId="119"/>
    <tableColumn id="2" xr3:uid="{6F39C0E6-5909-4FC6-9E0E-95A4CBAB3F3C}" name="Monto (USD)" dataDxfId="118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2E9E00A-5FB8-4B9F-8732-4DC1EEFB17BC}" name="costos_var2160619" displayName="costos_var2160619" ref="A7:W18" headerRowDxfId="117" dataDxfId="116" totalsRowDxfId="115">
  <tableColumns count="23">
    <tableColumn id="1" xr3:uid="{1D4244F7-33AA-43C1-98CB-40F6F60A3854}" name="Producto" totalsRowLabel="Total" dataDxfId="114" totalsRowDxfId="113"/>
    <tableColumn id="3" xr3:uid="{509F2585-2A5F-46F4-8691-BC3F15D550E5}" name="Peso del producto en Kg" totalsRowFunction="custom" dataDxfId="112" totalsRowDxfId="111">
      <totalsRowFormula>SUM(B16:B18)</totalsRowFormula>
    </tableColumn>
    <tableColumn id="4" xr3:uid="{0D5B46F9-1093-43C3-B0E2-83A8F6607A5F}" name="Peso Unitario (libras)" totalsRowFunction="custom" dataDxfId="110" totalsRowDxfId="109">
      <calculatedColumnFormula>costos_var2160619[[#This Row],[Peso del producto en Kg]]*2.2</calculatedColumnFormula>
      <totalsRowFormula>SUM(C16:C18)</totalsRowFormula>
    </tableColumn>
    <tableColumn id="12" xr3:uid="{FFC29E65-BD83-439F-8E12-A7508EB9AFB7}" name="Peso total en Kg" totalsRowFunction="custom" dataDxfId="108" totalsRowDxfId="107">
      <calculatedColumnFormula>costos_var2160619[[#This Row],[Cantidad]]*costos_var2160619[[#This Row],[Peso del producto en Kg]]</calculatedColumnFormula>
      <totalsRowFormula>SUM(D16:D18)</totalsRowFormula>
    </tableColumn>
    <tableColumn id="5" xr3:uid="{6A367D88-1047-4DBB-A7D7-E170D8CD5844}" name="Peso total (libras)" totalsRowFunction="custom" dataDxfId="106" totalsRowDxfId="105">
      <calculatedColumnFormula>PRODUCT(F8,C8)</calculatedColumnFormula>
      <totalsRowFormula>SUM(E16:E18)</totalsRowFormula>
    </tableColumn>
    <tableColumn id="2" xr3:uid="{AAD077E1-5087-4C65-A804-C9EB3E960B44}" name="Cantidad" totalsRowFunction="custom" dataDxfId="104" totalsRowDxfId="103">
      <totalsRowFormula>SUM(F16:F18)</totalsRowFormula>
    </tableColumn>
    <tableColumn id="9" xr3:uid="{8CF8C073-9DED-4721-84BD-F1A7DB3785C0}" name="Costo Unitario ($)" dataDxfId="102" totalsRowDxfId="101"/>
    <tableColumn id="10" xr3:uid="{E2A0FAF1-1B60-4A38-8B92-380A36E5E94F}" name="Costo Total" totalsRowFunction="custom" dataDxfId="100" totalsRowDxfId="99">
      <calculatedColumnFormula>costos_var2160619[[#This Row],[Cantidad]]*costos_var2160619[[#This Row],[Costo Unitario ($)]]</calculatedColumnFormula>
      <totalsRowFormula>SUM(H16:H18)</totalsRowFormula>
    </tableColumn>
    <tableColumn id="19" xr3:uid="{6D8FA31F-A15E-4D34-9246-51B300CDCE15}" name="comisión sobre transacción " totalsRowFunction="custom" dataDxfId="98" totalsRowDxfId="97">
      <calculatedColumnFormula>costos_var2160619[[#This Row],[Costo Total]]*0.0295</calculatedColumnFormula>
      <totalsRowFormula>SUM(I16:I18)</totalsRowFormula>
    </tableColumn>
    <tableColumn id="20" xr3:uid="{98691AD9-738F-4237-99B5-3AB6FE2F5698}" name="costo de envío interno en china " totalsRowFunction="custom" dataDxfId="96" totalsRowDxfId="95">
      <calculatedColumnFormula>costos_var2160619[[#This Row],[Costo Total]]*0.03</calculatedColumnFormula>
      <totalsRowFormula>SUM(J16:J18)</totalsRowFormula>
    </tableColumn>
    <tableColumn id="21" xr3:uid="{07018318-154A-439A-BD04-A2D84FD7CF5B}" name="Costo total total al almacen " totalsRowFunction="custom" dataDxfId="94" totalsRowDxfId="93">
      <calculatedColumnFormula>SUM(costos_var2160619[[#This Row],[Costo Total]],costos_var2160619[[#This Row],[comisión sobre transacción ]],costos_var2160619[[#This Row],[costo de envío interno en china ]])</calculatedColumnFormula>
      <totalsRowFormula>SUM(K16:K18)</totalsRowFormula>
    </tableColumn>
    <tableColumn id="11" xr3:uid="{6AA937C9-C56E-4DAE-93FD-A205C014841A}" name="Costo Envío China-USA" totalsRowFunction="custom" dataDxfId="92" totalsRowDxfId="91">
      <calculatedColumnFormula>1.4*costos_var2160619[[#This Row],[Peso total (libras)]]</calculatedColumnFormula>
      <totalsRowFormula>SUM(L16:L18)</totalsRowFormula>
    </tableColumn>
    <tableColumn id="6" xr3:uid="{5A1CDD46-A68B-4130-9304-7031ED2475D5}" name="Costo Envío  USA-NIC ($)" totalsRowFunction="custom" dataDxfId="90" totalsRowDxfId="89">
      <calculatedColumnFormula>costos_var2160619[[#This Row],[Peso total (libras)]]*$E$29</calculatedColumnFormula>
      <totalsRowFormula>SUM(M16:M18)</totalsRowFormula>
    </tableColumn>
    <tableColumn id="7" xr3:uid="{B593D6C3-A0BF-4F05-9EB3-4D29EB575BE7}" name="Costo envío Total ($)" totalsRowFunction="custom" dataDxfId="88" totalsRowDxfId="87">
      <calculatedColumnFormula>SUM(costos_var2160619[[#This Row],[Costo Envío China-USA]],costos_var2160619[[#This Row],[Costo Envío  USA-NIC ($)]])</calculatedColumnFormula>
      <totalsRowFormula>SUM(N16:N18)</totalsRowFormula>
    </tableColumn>
    <tableColumn id="8" xr3:uid="{5C0CF6C8-044C-4862-A4BC-8BBED2476BC7}" name="Costo Total Lote ($)" totalsRowFunction="custom" dataDxfId="86" totalsRowDxfId="85">
      <calculatedColumnFormula>SUM(costos_var2160619[[#This Row],[Costo envío Total ($)]], costos_var2160619[[#This Row],[Costo Total]], costos_var2160619[[#This Row],[comisión sobre transacción ]], costos_var2160619[[#This Row],[costo de envío interno en china ]])</calculatedColumnFormula>
      <totalsRowFormula>SUM(O16:O18)</totalsRowFormula>
    </tableColumn>
    <tableColumn id="15" xr3:uid="{713C8177-BCE1-48C7-BE63-03EABF359FC2}" name="Costo Unitario NIC" totalsRowFunction="custom" dataDxfId="84" totalsRowDxfId="83">
      <calculatedColumnFormula>costos_var2160619[[#This Row],[Costo Total Lote ($)]]/costos_var2160619[[#This Row],[Cantidad]]</calculatedColumnFormula>
      <totalsRowFormula>SUM(P16:P18)</totalsRowFormula>
    </tableColumn>
    <tableColumn id="13" xr3:uid="{81A7DB35-5CCB-4E84-8334-56C7615EBDB0}" name="Precio de venta" totalsRowFunction="custom" dataDxfId="82" totalsRowDxfId="81">
      <totalsRowFormula>SUM(Q16:Q18)</totalsRowFormula>
    </tableColumn>
    <tableColumn id="14" xr3:uid="{FB35B755-4D83-4139-B746-5FF519B137B1}" name="Ingreso total  por producto" totalsRowFunction="custom" dataDxfId="80" totalsRowDxfId="79">
      <calculatedColumnFormula>costos_var2160619[[#This Row],[Cantidad]]*costos_var2160619[[#This Row],[Precio de venta]]</calculatedColumnFormula>
      <totalsRowFormula>SUM(R16:R18)</totalsRowFormula>
    </tableColumn>
    <tableColumn id="16" xr3:uid="{25CCE400-ACD4-4323-9E64-6A0A55741517}" name="utilidad por producto" totalsRowFunction="custom" dataDxfId="78" totalsRowDxfId="77">
      <calculatedColumnFormula>costos_var2160619[[#This Row],[Ingreso total  por producto]]-costos_var2160619[[#This Row],[Costo Total Lote ($)]]</calculatedColumnFormula>
      <totalsRowFormula>SUM(S16:S18)</totalsRowFormula>
    </tableColumn>
    <tableColumn id="17" xr3:uid="{17276F67-ECF8-4F1A-A48B-8161D822FDDC}" name="margen sobre costros por producto" totalsRowFunction="average" dataDxfId="76" totalsRowDxfId="75">
      <calculatedColumnFormula>((costos_var2160619[[#This Row],[Precio de venta]]-costos_var2160619[[#This Row],[Costo Unitario NIC]])/costos_var2160619[[#This Row],[Costo Unitario NIC]])</calculatedColumnFormula>
    </tableColumn>
    <tableColumn id="18" xr3:uid="{30790F6C-2B08-4190-8107-40A16DE94B2F}" name="margen sobre ventas por productos" totalsRowFunction="average" dataDxfId="74" totalsRowDxfId="73">
      <calculatedColumnFormula>((costos_var2160619[[#This Row],[Precio de venta]]-costos_var2160619[[#This Row],[Costo Unitario NIC]])/costos_var2160619[[#This Row],[Precio de venta]])</calculatedColumnFormula>
    </tableColumn>
    <tableColumn id="22" xr3:uid="{95205F1D-217F-4B50-8772-C79582AE52B3}" name="Links" dataDxfId="72"/>
    <tableColumn id="23" xr3:uid="{D9B17D5F-3D38-4BDF-B0F2-4B129188FB10}" name="Origen" dataDxfId="71" totalsRowDxfId="70"/>
  </tableColumns>
  <tableStyleInfo name="TableStyleMedium2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D42FD0-C5B1-44DF-8396-9D1721175D51}" name="costos_fij2261720" displayName="costos_fij2261720" ref="D28:E30" totalsRowShown="0" headerRowDxfId="69" dataDxfId="68" totalsRowDxfId="67">
  <tableColumns count="2">
    <tableColumn id="1" xr3:uid="{58610152-1080-4E7E-9B0F-2E193E1733FE}" name="COSTOS x libra" dataDxfId="66" totalsRowDxfId="65"/>
    <tableColumn id="3" xr3:uid="{57E496F7-8DCA-46C5-AAD2-BF38D93C96EC}" name="Cantidad (Dólares)" dataDxfId="64" totalsRowDxfId="63"/>
  </tableColumns>
  <tableStyleInfo name="TableStyleMedium25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15D0B47-79F7-4BCC-8948-AF140D1E5493}" name="Tabla421" displayName="Tabla421" ref="A27:B42" totalsRowShown="0" headerRowDxfId="62" dataDxfId="61">
  <tableColumns count="2">
    <tableColumn id="1" xr3:uid="{FA648F77-C41F-4455-BCF0-054C60E29927}" name="Concepto" dataDxfId="60"/>
    <tableColumn id="2" xr3:uid="{A4BE7775-D4B7-44F5-97FF-9786CA3FE14D}" name="Monto (USD)" dataDxfId="59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8FAB84-3A39-4DB1-A926-2401231C737C}" name="costos_var21606193" displayName="costos_var21606193" ref="A7:W14" headerRowDxfId="58" dataDxfId="57" totalsRowDxfId="56">
  <tableColumns count="23">
    <tableColumn id="1" xr3:uid="{D0E3D995-4C36-41BD-BF20-CDE61BF775CF}" name="Producto" totalsRowLabel="Total" dataDxfId="55" totalsRowDxfId="54"/>
    <tableColumn id="3" xr3:uid="{B8DAA52C-A55D-462C-800E-5C057D2250D4}" name="Peso del producto en Kg" totalsRowFunction="custom" dataDxfId="53" totalsRowDxfId="52">
      <totalsRowFormula>SUM(B12:B14)</totalsRowFormula>
    </tableColumn>
    <tableColumn id="4" xr3:uid="{6E28F350-E91D-42E4-B067-7C7230787F0B}" name="Peso Unitario (libras)" totalsRowFunction="custom" dataDxfId="51" totalsRowDxfId="50">
      <calculatedColumnFormula>costos_var21606193[[#This Row],[Peso del producto en Kg]]*2.2</calculatedColumnFormula>
      <totalsRowFormula>SUM(C12:C14)</totalsRowFormula>
    </tableColumn>
    <tableColumn id="12" xr3:uid="{B6368EC9-AE38-40E0-923E-4D92F4012101}" name="Peso total en Kg" totalsRowFunction="custom" dataDxfId="49" totalsRowDxfId="48">
      <calculatedColumnFormula>costos_var21606193[[#This Row],[Cantidad]]*costos_var21606193[[#This Row],[Peso del producto en Kg]]</calculatedColumnFormula>
      <totalsRowFormula>SUM(D12:D14)</totalsRowFormula>
    </tableColumn>
    <tableColumn id="5" xr3:uid="{A2D34141-B750-4B55-8AF7-5A4C9B277E6F}" name="Peso total (libras)" totalsRowFunction="custom" dataDxfId="47" totalsRowDxfId="46">
      <calculatedColumnFormula>PRODUCT(F8,C8)</calculatedColumnFormula>
      <totalsRowFormula>SUM(E12:E14)</totalsRowFormula>
    </tableColumn>
    <tableColumn id="2" xr3:uid="{4FAF64E6-9B0F-4D27-8C03-FF505AD1055B}" name="Cantidad" totalsRowFunction="custom" dataDxfId="45" totalsRowDxfId="44">
      <totalsRowFormula>SUM(F12:F14)</totalsRowFormula>
    </tableColumn>
    <tableColumn id="9" xr3:uid="{138F5F8A-E4EE-430B-8938-2EF5B3F99E91}" name="Costo Unitario ($)" dataDxfId="43" totalsRowDxfId="42"/>
    <tableColumn id="10" xr3:uid="{3926253F-C8CE-4DC1-B23C-EC3C8E8B1E31}" name="Costo Total" totalsRowFunction="custom" dataDxfId="41" totalsRowDxfId="40">
      <calculatedColumnFormula>costos_var21606193[[#This Row],[Cantidad]]*costos_var21606193[[#This Row],[Costo Unitario ($)]]</calculatedColumnFormula>
      <totalsRowFormula>SUM(H12:H14)</totalsRowFormula>
    </tableColumn>
    <tableColumn id="19" xr3:uid="{45056D31-59F2-4BBB-9836-323FB1BC2D4E}" name="comisión sobre transacción " totalsRowFunction="custom" dataDxfId="39" totalsRowDxfId="38">
      <calculatedColumnFormula>costos_var21606193[[#This Row],[Costo Total]]*0.0295</calculatedColumnFormula>
      <totalsRowFormula>SUM(I12:I14)</totalsRowFormula>
    </tableColumn>
    <tableColumn id="20" xr3:uid="{89F39460-5CE0-420B-AA5C-08F595C520A0}" name="costo de envío interno en china " totalsRowFunction="custom" dataDxfId="37" totalsRowDxfId="36">
      <calculatedColumnFormula>costos_var21606193[[#This Row],[Costo Total]]*0.03</calculatedColumnFormula>
      <totalsRowFormula>SUM(J12:J14)</totalsRowFormula>
    </tableColumn>
    <tableColumn id="21" xr3:uid="{5DE48031-F08B-4B7F-A2E9-B761330C770C}" name="Costo total total al almacen " totalsRowFunction="custom" dataDxfId="35" totalsRowDxfId="34">
      <calculatedColumnFormula>SUM(costos_var21606193[[#This Row],[Costo Total]],costos_var21606193[[#This Row],[comisión sobre transacción ]],costos_var21606193[[#This Row],[costo de envío interno en china ]])</calculatedColumnFormula>
      <totalsRowFormula>SUM(K12:K14)</totalsRowFormula>
    </tableColumn>
    <tableColumn id="11" xr3:uid="{C1E68E08-2C30-4FDA-A7A3-F12B48CDD87E}" name="Costo Envío China-USA" totalsRowFunction="custom" dataDxfId="33" totalsRowDxfId="32">
      <calculatedColumnFormula>1.4*costos_var21606193[[#This Row],[Peso total (libras)]]</calculatedColumnFormula>
      <totalsRowFormula>SUM(L12:L14)</totalsRowFormula>
    </tableColumn>
    <tableColumn id="6" xr3:uid="{E8D7C954-77E5-4CDA-9DF1-079E009D0C2D}" name="Costo Envío  USA-NIC ($)" totalsRowFunction="custom" dataDxfId="31" totalsRowDxfId="30">
      <calculatedColumnFormula>costos_var21606193[[#This Row],[Peso total (libras)]]*$E$25</calculatedColumnFormula>
      <totalsRowFormula>SUM(M12:M14)</totalsRowFormula>
    </tableColumn>
    <tableColumn id="7" xr3:uid="{F70AE155-93FF-43D2-9718-309254F800ED}" name="Costo envío Total ($)" totalsRowFunction="custom" dataDxfId="29" totalsRowDxfId="28">
      <calculatedColumnFormula>SUM(costos_var21606193[[#This Row],[Costo Envío China-USA]],costos_var21606193[[#This Row],[Costo Envío  USA-NIC ($)]])</calculatedColumnFormula>
      <totalsRowFormula>SUM(N12:N14)</totalsRowFormula>
    </tableColumn>
    <tableColumn id="8" xr3:uid="{701F4DB5-04B3-4692-AF8E-82DE51022267}" name="Costo Total Lote ($)" totalsRowFunction="custom" dataDxfId="27" totalsRowDxfId="26">
      <calculatedColumnFormula>SUM(costos_var21606193[[#This Row],[Costo envío Total ($)]], costos_var21606193[[#This Row],[Costo Total]], costos_var21606193[[#This Row],[comisión sobre transacción ]], costos_var21606193[[#This Row],[costo de envío interno en china ]])</calculatedColumnFormula>
      <totalsRowFormula>SUM(O12:O14)</totalsRowFormula>
    </tableColumn>
    <tableColumn id="15" xr3:uid="{3C016DC8-F781-4F6D-9653-FFC2103CD5BB}" name="Costo Unitario NIC" totalsRowFunction="custom" dataDxfId="25" totalsRowDxfId="24">
      <calculatedColumnFormula>costos_var21606193[[#This Row],[Costo Total Lote ($)]]/costos_var21606193[[#This Row],[Cantidad]]</calculatedColumnFormula>
      <totalsRowFormula>SUM(P12:P14)</totalsRowFormula>
    </tableColumn>
    <tableColumn id="13" xr3:uid="{C5D89FAE-C598-4BEE-84EA-07A3D846E0CF}" name="Precio de venta" totalsRowFunction="custom" dataDxfId="23" totalsRowDxfId="22">
      <totalsRowFormula>SUM(Q12:Q14)</totalsRowFormula>
    </tableColumn>
    <tableColumn id="14" xr3:uid="{4C688D7E-A6D0-4ECD-B6B6-B51E1E593302}" name="Ingreso total  por producto" totalsRowFunction="custom" dataDxfId="21" totalsRowDxfId="20">
      <calculatedColumnFormula>costos_var21606193[[#This Row],[Cantidad]]*costos_var21606193[[#This Row],[Precio de venta]]</calculatedColumnFormula>
      <totalsRowFormula>SUM(R12:R14)</totalsRowFormula>
    </tableColumn>
    <tableColumn id="16" xr3:uid="{564DBB5B-4BAE-4506-9E59-DACD1EBDB252}" name="utilidad por producto" totalsRowFunction="custom" dataDxfId="19" totalsRowDxfId="18">
      <calculatedColumnFormula>costos_var21606193[[#This Row],[Ingreso total  por producto]]-costos_var21606193[[#This Row],[Costo Total Lote ($)]]</calculatedColumnFormula>
      <totalsRowFormula>SUM(S12:S14)</totalsRowFormula>
    </tableColumn>
    <tableColumn id="17" xr3:uid="{1E65A000-EBFD-407A-B215-F5F230E4DCE6}" name="margen sobre costros por producto" totalsRowFunction="average" dataDxfId="17" totalsRowDxfId="16">
      <calculatedColumnFormula>((costos_var21606193[[#This Row],[Precio de venta]]-costos_var21606193[[#This Row],[Costo Unitario NIC]])/costos_var21606193[[#This Row],[Costo Unitario NIC]])</calculatedColumnFormula>
    </tableColumn>
    <tableColumn id="18" xr3:uid="{76E9B22C-13F9-47B3-8F91-6130C1B764D8}" name="margen sobre ventas por productos" totalsRowFunction="average" dataDxfId="15" totalsRowDxfId="14">
      <calculatedColumnFormula>((costos_var21606193[[#This Row],[Precio de venta]]-costos_var21606193[[#This Row],[Costo Unitario NIC]])/costos_var21606193[[#This Row],[Precio de venta]])</calculatedColumnFormula>
    </tableColumn>
    <tableColumn id="22" xr3:uid="{08C39EB3-0FD3-4D1B-A43C-4B3562C1AA3C}" name="Links" dataDxfId="13"/>
    <tableColumn id="23" xr3:uid="{3A8EB76F-83A8-4DD5-814E-A067D0376FF0}" name="Origen" dataDxfId="12" totalsRowDxfId="11"/>
  </tableColumns>
  <tableStyleInfo name="TableStyleMedium25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5582F8-B404-419B-B4CB-1D03E93DC338}" name="costos_fij22617204" displayName="costos_fij22617204" ref="D24:E26" totalsRowShown="0" headerRowDxfId="10" dataDxfId="9" totalsRowDxfId="8">
  <tableColumns count="2">
    <tableColumn id="1" xr3:uid="{BA06DF96-D0B7-4B8E-82BF-2848875F2661}" name="COSTOS x libra" dataDxfId="7" totalsRowDxfId="6"/>
    <tableColumn id="3" xr3:uid="{352BA477-6746-4077-A564-029F3FE265D8}" name="Cantidad (Dólares)" dataDxfId="5" totalsRowDxfId="4"/>
  </tableColumns>
  <tableStyleInfo name="TableStyleMedium25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38236FC-ED51-4C26-9842-B300708156FD}" name="Tabla42110" displayName="Tabla42110" ref="A23:B38" totalsRowShown="0" headerRowDxfId="3" dataDxfId="2">
  <tableColumns count="2">
    <tableColumn id="1" xr3:uid="{B6C99F1B-75DC-4665-9B24-54393043D8E4}" name="Concepto" dataDxfId="1"/>
    <tableColumn id="2" xr3:uid="{0127D65F-2BD3-4C90-8879-13A41DF49F50}" name="Monto (USD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7" Type="http://schemas.openxmlformats.org/officeDocument/2006/relationships/table" Target="../tables/table4.xml"/><Relationship Id="rId2" Type="http://schemas.openxmlformats.org/officeDocument/2006/relationships/hyperlink" Target="https://detail.1688.com/offer/899245212776.html?spm=a261y.7663282.sceneKey.1.624a15e3selvla&amp;sk=consign&amp;traceId=213e002a17584943933085186e793d&amp;spm-url=a260k.home2025.recommendpart.53&amp;spm-auction=899245212776" TargetMode="External"/><Relationship Id="rId1" Type="http://schemas.openxmlformats.org/officeDocument/2006/relationships/hyperlink" Target="https://detail.1688.com/offer/962571504607.html?spm=a26352.b28411319/2508.0.0.75eb1e62fsSu5D" TargetMode="Externa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etail.1688.com/offer/743499100908.html?spm=a26352.b28411319.offerlist.36.18c51e62LLPAwA&amp;cosite=-&amp;tracelog=p4p&amp;_p_isad=1&amp;clickid=cf117e14ab324938bf40a86a52e56352&amp;sessionid=45cc754ce639a008f4db696c7c0e8ac4" TargetMode="External"/><Relationship Id="rId13" Type="http://schemas.openxmlformats.org/officeDocument/2006/relationships/table" Target="../tables/table7.xml"/><Relationship Id="rId3" Type="http://schemas.openxmlformats.org/officeDocument/2006/relationships/hyperlink" Target="https://detail.1688.com/offer/657458286819.html?spm=a26352.b28411319.offerlist.21.2e341e62dssJSC" TargetMode="External"/><Relationship Id="rId7" Type="http://schemas.openxmlformats.org/officeDocument/2006/relationships/hyperlink" Target="https://detail.1688.com/offer/931439306548.html?spm=a26352.b28411319.offerlist.6.6d781e6255FKuf" TargetMode="External"/><Relationship Id="rId12" Type="http://schemas.openxmlformats.org/officeDocument/2006/relationships/table" Target="../tables/table6.xml"/><Relationship Id="rId2" Type="http://schemas.openxmlformats.org/officeDocument/2006/relationships/hyperlink" Target="https://detail.1688.com/offer/899245212776.html?spm=a261y.7663282.sceneKey.1.624a15e3selvla&amp;sk=consign&amp;traceId=213e002a17584943933085186e793d&amp;spm-url=a260k.home2025.recommendpart.53&amp;spm-auction=899245212776" TargetMode="External"/><Relationship Id="rId1" Type="http://schemas.openxmlformats.org/officeDocument/2006/relationships/hyperlink" Target="https://detail.1688.com/offer/962571504607.html?spm=a26352.b28411319/2508.0.0.75eb1e62fsSu5D" TargetMode="External"/><Relationship Id="rId6" Type="http://schemas.openxmlformats.org/officeDocument/2006/relationships/hyperlink" Target="https://detail.1688.com/offer/733562627826.html?spm=a26352.13672862.offerlist.41.2e701e62cqGAd8&amp;offerId=733562627826&amp;sortType=&amp;pageId=&amp;abBizDataType=cbuOffer&amp;trace_log=normal&amp;uuid=6b107adf730f4c99afbc224bd35cc9c4&amp;skuId=5247790839242&amp;forcePC=1760829036965" TargetMode="External"/><Relationship Id="rId11" Type="http://schemas.openxmlformats.org/officeDocument/2006/relationships/table" Target="../tables/table5.xml"/><Relationship Id="rId5" Type="http://schemas.openxmlformats.org/officeDocument/2006/relationships/hyperlink" Target="https://detail.1688.com/offer/846539069738.html?spm=a26352.b28411319.offerlist.11.4cf71e62zLu3dl&amp;cosite=-&amp;tracelog=p4p&amp;_p_isad=1&amp;clickid=6d3c10e80f8c40848b1fc2e8b52ee49d&amp;sessionid=70f5c208b14900086a5cb62ff7694c37" TargetMode="External"/><Relationship Id="rId10" Type="http://schemas.openxmlformats.org/officeDocument/2006/relationships/drawing" Target="../drawings/drawing2.xml"/><Relationship Id="rId4" Type="http://schemas.openxmlformats.org/officeDocument/2006/relationships/hyperlink" Target="https://detail.1688.com/offer/949948814384.html?spm=a261y.7663282.sceneKey.1.30e74929XWrSWd&amp;sk=consign&amp;traceId=213e365717584968120984857e6347&amp;spm-url=a26352.b28411319%2F2508.0.0.34151e62oopFoT&amp;spm-auction=949948814384&amp;spm-pre=a26352.b28411319%2F2508.0.0.34151e62oopFoT" TargetMode="External"/><Relationship Id="rId9" Type="http://schemas.openxmlformats.org/officeDocument/2006/relationships/hyperlink" Target="https://detail.1688.com/offer/778963890676.html?spm=a26352.b28411319.offerlist.47.24fc1e62Tx5cC" TargetMode="External"/><Relationship Id="rId14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/><Relationship Id="rId3" Type="http://schemas.openxmlformats.org/officeDocument/2006/relationships/hyperlink" Target="https://detail.1688.com/offer/778963890676.html?spm=a26352.b28411319.offerlist.47.24fc1e62Tx5cC5" TargetMode="External"/><Relationship Id="rId7" Type="http://schemas.openxmlformats.org/officeDocument/2006/relationships/hyperlink" Target="https://detail.1688.com/offer/953293099875.html?spm=a26352.b28411319.offerlist.1.32991e62R7mrJ6" TargetMode="External"/><Relationship Id="rId2" Type="http://schemas.openxmlformats.org/officeDocument/2006/relationships/hyperlink" Target="https://detail.1688.com/offer/917899437374.html?spm=a26352.b28411319.offerlist.1.51651e62CF6X0f&amp;cosite=-&amp;tracelog=p4p&amp;_p_isad=1&amp;clickid=95b322f7669941d1af23fd6b07edee30&amp;sessionid=fdb6e77267553338d755f791fd8808d4" TargetMode="External"/><Relationship Id="rId1" Type="http://schemas.openxmlformats.org/officeDocument/2006/relationships/hyperlink" Target="https://detail.1688.com/offer/928492128685.html?spm=a26352.b28411319.offerlist.1.45b41e627uOyWR&amp;cosite=-&amp;tracelog=p4p&amp;_p_isad=1&amp;clickid=f8b77f5c8d6c4f5cad2ac955dbdaedb0&amp;sessionid=60f5b3bb41aa9a507dad2e0e770371cd" TargetMode="External"/><Relationship Id="rId6" Type="http://schemas.openxmlformats.org/officeDocument/2006/relationships/hyperlink" Target="https://detail.1688.com/offer/535805220345.html?spm=a26352.b28411319.offerlist.28.439a1e62ABCG13" TargetMode="External"/><Relationship Id="rId11" Type="http://schemas.openxmlformats.org/officeDocument/2006/relationships/table" Target="../tables/table11.xml"/><Relationship Id="rId5" Type="http://schemas.openxmlformats.org/officeDocument/2006/relationships/hyperlink" Target="https://detail.1688.com/offer/777713103434.html?_t=1764816242960&amp;spm=a2615.7691456.co_0_0_wangpu_score_0_0_0_0_0_0_0000_0.0" TargetMode="External"/><Relationship Id="rId10" Type="http://schemas.openxmlformats.org/officeDocument/2006/relationships/table" Target="../tables/table10.xml"/><Relationship Id="rId4" Type="http://schemas.openxmlformats.org/officeDocument/2006/relationships/hyperlink" Target="https://detail.1688.com/offer/800970952460.html?_t=1764816248328&amp;spm=a2615.7691456.co_0_0_wangpu_score_0_0_0_0_0_0_0000_0.0" TargetMode="External"/><Relationship Id="rId9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4.xml"/><Relationship Id="rId3" Type="http://schemas.openxmlformats.org/officeDocument/2006/relationships/hyperlink" Target="https://detail.1688.com/offer/778963890676.html?spm=a26352.b28411319.offerlist.47.24fc1e62Tx5" TargetMode="External"/><Relationship Id="rId7" Type="http://schemas.openxmlformats.org/officeDocument/2006/relationships/hyperlink" Target="https://detail.1688.com/offer/930081454204.html?spm=a26352.b28411319/2508.0.0" TargetMode="External"/><Relationship Id="rId2" Type="http://schemas.openxmlformats.org/officeDocument/2006/relationships/hyperlink" Target="https://detail.1688.com/offer/899245212776.html?spm=a261y.7663282.3002526303362591.2.2aa25af1hqMhem&amp;sk=orde" TargetMode="External"/><Relationship Id="rId1" Type="http://schemas.openxmlformats.org/officeDocument/2006/relationships/hyperlink" Target="https://detail.1688.com/offer/965114246894.html?offerId=965114246894&amp;hotSaleSkuId=5928326656720&amp;spm=a260k.home2025.recommendpart.186" TargetMode="External"/><Relationship Id="rId6" Type="http://schemas.openxmlformats.org/officeDocument/2006/relationships/hyperlink" Target="https://detail.1688.com/offer/846539069738.html?spm=a26352.b28411319.offerlist.11.4cf71e62zLu3dl&amp;cosite=-&amp;tracelog=p4p&amp;_p_isad=1&amp;clickid=6d3c10e80f8c40848b1fc2e8b52ee49d&amp;sessionid=70f5c208b14900086a5cb62ff7694c37" TargetMode="External"/><Relationship Id="rId11" Type="http://schemas.openxmlformats.org/officeDocument/2006/relationships/table" Target="../tables/table14.xml"/><Relationship Id="rId5" Type="http://schemas.openxmlformats.org/officeDocument/2006/relationships/hyperlink" Target="https://detail.1688.com/offer/891194971739.html?offerId=891194971739&amp;hotSaleSkuId=5906548623983&amp;spm=a260k.home2025.recommendpart.32" TargetMode="External"/><Relationship Id="rId10" Type="http://schemas.openxmlformats.org/officeDocument/2006/relationships/table" Target="../tables/table13.xml"/><Relationship Id="rId4" Type="http://schemas.openxmlformats.org/officeDocument/2006/relationships/hyperlink" Target="https://detail.1688.com/offer/951101056608.html?_t=1768786798148&amp;spm=a2615.7691456.co_1_0_wangpu_score_0_0_0_0_0_0_0000_0.0" TargetMode="External"/><Relationship Id="rId9" Type="http://schemas.openxmlformats.org/officeDocument/2006/relationships/table" Target="../tables/table1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6.xml"/><Relationship Id="rId3" Type="http://schemas.openxmlformats.org/officeDocument/2006/relationships/hyperlink" Target="https://detail.1688.com/offer/777713103434.html?_t=1786899915273&amp;spm=a2615.7691456/2506.co_0_0_wangpu_score_0_0_0_0_0_0_0000_0.0" TargetMode="External"/><Relationship Id="rId7" Type="http://schemas.openxmlformats.org/officeDocument/2006/relationships/table" Target="../tables/table15.xml"/><Relationship Id="rId2" Type="http://schemas.openxmlformats.org/officeDocument/2006/relationships/hyperlink" Target="https://detail.1688.com/offer/800970952460.html?_t=1764816248328&amp;spm=a2615.7691456.co_0_0_wangpu_score_0_0_0_0_0_0_0000_0.0" TargetMode="External"/><Relationship Id="rId1" Type="http://schemas.openxmlformats.org/officeDocument/2006/relationships/hyperlink" Target="https://detail.1688.com/offer/778963890676.html?spm=a26352.b28411319.offerlist.47.24fc1e62Tx5" TargetMode="External"/><Relationship Id="rId6" Type="http://schemas.openxmlformats.org/officeDocument/2006/relationships/drawing" Target="../drawings/drawing5.xml"/><Relationship Id="rId5" Type="http://schemas.openxmlformats.org/officeDocument/2006/relationships/hyperlink" Target="https://detail.1688.com/offer/945949785993.html?spm=a26352.13672862.offerlist.9.c75372bbzbPyli&amp;cosite=-&amp;tracelog=p4p&amp;_p_isad=1&amp;clickid=fdac6ce554044ebd83544da305907ba6&amp;sessionid=b12f41d3dc54e6d4891e5f9185119a21" TargetMode="External"/><Relationship Id="rId4" Type="http://schemas.openxmlformats.org/officeDocument/2006/relationships/hyperlink" Target="https://detail.1688.com/offer/1041336394512.html?spm=a26352.b28411319/2508.0.0" TargetMode="External"/><Relationship Id="rId9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A4948-EA79-41F9-959C-5DFEC1421878}">
  <dimension ref="A1:V68"/>
  <sheetViews>
    <sheetView zoomScale="106" zoomScaleNormal="106" workbookViewId="0">
      <selection activeCell="D17" sqref="D17"/>
    </sheetView>
  </sheetViews>
  <sheetFormatPr baseColWidth="10" defaultRowHeight="15" x14ac:dyDescent="0.25"/>
  <cols>
    <col min="1" max="1" width="31.5703125" bestFit="1" customWidth="1"/>
    <col min="2" max="2" width="14.42578125" customWidth="1"/>
    <col min="3" max="4" width="10.7109375" customWidth="1"/>
    <col min="5" max="5" width="15.5703125" customWidth="1"/>
    <col min="6" max="7" width="10.42578125" customWidth="1"/>
    <col min="8" max="8" width="32.5703125" customWidth="1"/>
    <col min="9" max="9" width="11.140625" customWidth="1"/>
    <col min="10" max="10" width="13.42578125" customWidth="1"/>
    <col min="11" max="11" width="17.7109375" customWidth="1"/>
    <col min="12" max="12" width="11.42578125" customWidth="1"/>
    <col min="13" max="13" width="16.7109375" customWidth="1"/>
    <col min="14" max="14" width="22.140625" bestFit="1" customWidth="1"/>
    <col min="15" max="15" width="18.140625" customWidth="1"/>
    <col min="16" max="16" width="14.5703125" customWidth="1"/>
    <col min="17" max="17" width="19.42578125" customWidth="1"/>
    <col min="18" max="18" width="13.5703125" customWidth="1"/>
    <col min="19" max="19" width="17.42578125" customWidth="1"/>
    <col min="20" max="20" width="32.28515625" bestFit="1" customWidth="1"/>
    <col min="21" max="21" width="61.85546875" bestFit="1" customWidth="1"/>
  </cols>
  <sheetData>
    <row r="1" spans="1:22" ht="22.5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5"/>
    </row>
    <row r="2" spans="1:22" ht="22.5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5"/>
    </row>
    <row r="3" spans="1:22" ht="22.5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5"/>
    </row>
    <row r="4" spans="1:2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22" ht="20.25" customHeight="1" x14ac:dyDescent="0.25">
      <c r="A5" s="5"/>
      <c r="B5" s="5"/>
      <c r="C5" s="5"/>
      <c r="D5" s="5"/>
      <c r="E5" s="5"/>
      <c r="F5" s="6" t="s">
        <v>4</v>
      </c>
      <c r="G5" s="6">
        <v>36.619999999999997</v>
      </c>
      <c r="H5" s="5"/>
      <c r="I5" s="5"/>
      <c r="J5" s="5"/>
      <c r="K5" s="5"/>
    </row>
    <row r="6" spans="1:22" ht="18.75" x14ac:dyDescent="0.25">
      <c r="A6" s="38" t="s">
        <v>9</v>
      </c>
      <c r="B6" s="38"/>
      <c r="C6" s="9"/>
      <c r="D6" s="9"/>
      <c r="E6" s="9"/>
      <c r="F6" s="9"/>
      <c r="G6" s="9"/>
      <c r="H6" s="9"/>
      <c r="I6" s="9"/>
      <c r="J6" s="5"/>
      <c r="K6" s="5"/>
    </row>
    <row r="7" spans="1:22" ht="28.5" customHeight="1" x14ac:dyDescent="0.25">
      <c r="A7" s="23" t="s">
        <v>1</v>
      </c>
      <c r="B7" s="23" t="s">
        <v>16</v>
      </c>
      <c r="C7" s="23" t="s">
        <v>2</v>
      </c>
      <c r="D7" s="23" t="s">
        <v>15</v>
      </c>
      <c r="E7" s="23" t="s">
        <v>3</v>
      </c>
      <c r="F7" s="23" t="s">
        <v>0</v>
      </c>
      <c r="G7" s="23" t="s">
        <v>12</v>
      </c>
      <c r="H7" s="23" t="s">
        <v>8</v>
      </c>
      <c r="I7" s="23" t="s">
        <v>40</v>
      </c>
      <c r="J7" s="23" t="s">
        <v>41</v>
      </c>
      <c r="K7" s="23" t="s">
        <v>42</v>
      </c>
      <c r="L7" s="23" t="s">
        <v>10</v>
      </c>
      <c r="M7" s="23" t="s">
        <v>39</v>
      </c>
      <c r="N7" s="23" t="s">
        <v>14</v>
      </c>
      <c r="O7" s="23" t="s">
        <v>11</v>
      </c>
      <c r="P7" s="23" t="s">
        <v>13</v>
      </c>
      <c r="Q7" s="24" t="s">
        <v>18</v>
      </c>
      <c r="R7" s="24" t="s">
        <v>20</v>
      </c>
      <c r="S7" s="23" t="s">
        <v>21</v>
      </c>
      <c r="T7" s="23" t="s">
        <v>22</v>
      </c>
      <c r="U7" s="23" t="s">
        <v>23</v>
      </c>
      <c r="V7" s="23" t="s">
        <v>49</v>
      </c>
    </row>
    <row r="8" spans="1:22" x14ac:dyDescent="0.25">
      <c r="A8" s="31"/>
      <c r="B8" s="25">
        <v>0.5</v>
      </c>
      <c r="C8" s="25">
        <f>costos_var21606[[#This Row],[Peso del producto en Kg]]*2.2</f>
        <v>1.1000000000000001</v>
      </c>
      <c r="D8" s="25">
        <f>costos_var21606[[#This Row],[Cantidad]]*costos_var21606[[#This Row],[Peso del producto en Kg]]</f>
        <v>5</v>
      </c>
      <c r="E8" s="25">
        <f>costos_var21606[[#This Row],[Peso total en Kg]]*2.2</f>
        <v>11</v>
      </c>
      <c r="F8" s="28">
        <v>10</v>
      </c>
      <c r="G8" s="25">
        <v>7.5</v>
      </c>
      <c r="H8" s="25">
        <f>costos_var21606[[#This Row],[Cantidad]]*costos_var21606[[#This Row],[Costo Unitario ($)]]</f>
        <v>75</v>
      </c>
      <c r="I8" s="25">
        <f>costos_var21606[[#This Row],[Costo Total]]*0.0295</f>
        <v>2.2124999999999999</v>
      </c>
      <c r="J8" s="25">
        <f>costos_var21606[[#This Row],[Costo Total]]*0.03</f>
        <v>2.25</v>
      </c>
      <c r="K8" s="25">
        <f>SUM(costos_var21606[[#This Row],[Costo Total]],costos_var21606[[#This Row],[comisión sobre transacción ]],costos_var21606[[#This Row],[costo de envío interno en china ]])</f>
        <v>79.462500000000006</v>
      </c>
      <c r="L8" s="25">
        <f>1.4*costos_var21606[[#This Row],[Peso total (libras)]]</f>
        <v>15.399999999999999</v>
      </c>
      <c r="M8" s="25">
        <f>costos_var21606[[#This Row],[Peso total (libras)]]*$E$31</f>
        <v>22</v>
      </c>
      <c r="N8" s="25">
        <f>SUM(costos_var21606[[#This Row],[Costo Envío China-USA]],costos_var21606[[#This Row],[Costo Envío  USA-NIC ($)]])</f>
        <v>37.4</v>
      </c>
      <c r="O8" s="25">
        <f>SUM(costos_var21606[[#This Row],[Costo envío Total ($)]], costos_var21606[[#This Row],[Costo Total]], costos_var21606[[#This Row],[comisión sobre transacción ]], costos_var21606[[#This Row],[costo de envío interno en china ]])</f>
        <v>116.86250000000001</v>
      </c>
      <c r="P8" s="25">
        <f>costos_var21606[[#This Row],[Costo Total Lote ($)]]/costos_var21606[[#This Row],[Cantidad]]</f>
        <v>11.686250000000001</v>
      </c>
      <c r="Q8" s="25">
        <v>27.2</v>
      </c>
      <c r="R8" s="25">
        <f>costos_var21606[[#This Row],[Cantidad]]*costos_var21606[[#This Row],[Precio de venta]]</f>
        <v>272</v>
      </c>
      <c r="S8" s="25">
        <f>costos_var21606[[#This Row],[Ingreso total  por producto]]-costos_var21606[[#This Row],[Costo Total Lote ($)]]</f>
        <v>155.13749999999999</v>
      </c>
      <c r="T8" s="12">
        <f>((costos_var21606[[#This Row],[Precio de venta]]-costos_var21606[[#This Row],[Costo Unitario NIC]])/costos_var21606[[#This Row],[Costo Unitario NIC]])</f>
        <v>1.3275216600705955</v>
      </c>
      <c r="U8" s="12">
        <f>((costos_var21606[[#This Row],[Precio de venta]]-costos_var21606[[#This Row],[Costo Unitario NIC]])/costos_var21606[[#This Row],[Precio de venta]])</f>
        <v>0.5703584558823529</v>
      </c>
      <c r="V8" s="35" t="s">
        <v>50</v>
      </c>
    </row>
    <row r="9" spans="1:22" x14ac:dyDescent="0.25">
      <c r="A9" s="31"/>
      <c r="B9" s="25">
        <v>0.1</v>
      </c>
      <c r="C9" s="25">
        <f>costos_var21606[[#This Row],[Peso del producto en Kg]]*2.2</f>
        <v>0.22000000000000003</v>
      </c>
      <c r="D9" s="25">
        <f>costos_var21606[[#This Row],[Cantidad]]*costos_var21606[[#This Row],[Peso del producto en Kg]]</f>
        <v>1.5</v>
      </c>
      <c r="E9" s="25">
        <f>costos_var21606[[#This Row],[Peso total en Kg]]*2.2</f>
        <v>3.3000000000000003</v>
      </c>
      <c r="F9" s="28">
        <v>15</v>
      </c>
      <c r="G9" s="25">
        <v>2.95</v>
      </c>
      <c r="H9" s="25">
        <f>costos_var21606[[#This Row],[Cantidad]]*costos_var21606[[#This Row],[Costo Unitario ($)]]</f>
        <v>44.25</v>
      </c>
      <c r="I9" s="25">
        <f>costos_var21606[[#This Row],[Costo Total]]*0.0295</f>
        <v>1.305375</v>
      </c>
      <c r="J9" s="25">
        <f>costos_var21606[[#This Row],[Costo Total]]*0.03</f>
        <v>1.3274999999999999</v>
      </c>
      <c r="K9" s="25">
        <f>SUM(costos_var21606[[#This Row],[Costo Total]],costos_var21606[[#This Row],[comisión sobre transacción ]],costos_var21606[[#This Row],[costo de envío interno en china ]])</f>
        <v>46.882874999999999</v>
      </c>
      <c r="L9" s="25">
        <f>1.4*costos_var21606[[#This Row],[Peso total (libras)]]</f>
        <v>4.62</v>
      </c>
      <c r="M9" s="25">
        <f>costos_var21606[[#This Row],[Peso total (libras)]]*$E$31</f>
        <v>6.6000000000000005</v>
      </c>
      <c r="N9" s="25">
        <f>SUM(costos_var21606[[#This Row],[Costo Envío China-USA]],costos_var21606[[#This Row],[Costo Envío  USA-NIC ($)]])</f>
        <v>11.22</v>
      </c>
      <c r="O9" s="25">
        <f>SUM(costos_var21606[[#This Row],[Costo envío Total ($)]], costos_var21606[[#This Row],[Costo Total]], costos_var21606[[#This Row],[comisión sobre transacción ]], costos_var21606[[#This Row],[costo de envío interno en china ]])</f>
        <v>58.102874999999997</v>
      </c>
      <c r="P9" s="25">
        <f>costos_var21606[[#This Row],[Costo Total Lote ($)]]/costos_var21606[[#This Row],[Cantidad]]</f>
        <v>3.8735249999999999</v>
      </c>
      <c r="Q9" s="25">
        <v>16.260000000000002</v>
      </c>
      <c r="R9" s="25">
        <f>costos_var21606[[#This Row],[Cantidad]]*costos_var21606[[#This Row],[Precio de venta]]</f>
        <v>243.90000000000003</v>
      </c>
      <c r="S9" s="25">
        <f>costos_var21606[[#This Row],[Ingreso total  por producto]]-costos_var21606[[#This Row],[Costo Total Lote ($)]]</f>
        <v>185.79712500000005</v>
      </c>
      <c r="T9" s="12">
        <f>((costos_var21606[[#This Row],[Precio de venta]]-costos_var21606[[#This Row],[Costo Unitario NIC]])/costos_var21606[[#This Row],[Costo Unitario NIC]])</f>
        <v>3.1977268766820921</v>
      </c>
      <c r="U9" s="12">
        <f>((costos_var21606[[#This Row],[Precio de venta]]-costos_var21606[[#This Row],[Costo Unitario NIC]])/costos_var21606[[#This Row],[Precio de venta]])</f>
        <v>0.76177583025830253</v>
      </c>
      <c r="V9" s="35" t="s">
        <v>50</v>
      </c>
    </row>
    <row r="10" spans="1:22" x14ac:dyDescent="0.25">
      <c r="A10" s="32"/>
      <c r="B10" s="25"/>
      <c r="C10" s="25"/>
      <c r="D10" s="25"/>
      <c r="E10" s="25"/>
      <c r="F10" s="28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12"/>
      <c r="U10" s="12"/>
      <c r="V10" s="35"/>
    </row>
    <row r="11" spans="1:22" x14ac:dyDescent="0.25">
      <c r="A11" s="31"/>
      <c r="B11" s="25"/>
      <c r="C11" s="25"/>
      <c r="D11" s="25"/>
      <c r="E11" s="25"/>
      <c r="F11" s="28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12"/>
      <c r="U11" s="12"/>
      <c r="V11" s="35"/>
    </row>
    <row r="12" spans="1:22" x14ac:dyDescent="0.25">
      <c r="A12" s="31"/>
      <c r="B12" s="25"/>
      <c r="C12" s="25"/>
      <c r="D12" s="25"/>
      <c r="E12" s="25"/>
      <c r="F12" s="28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12"/>
      <c r="U12" s="12"/>
      <c r="V12" s="35"/>
    </row>
    <row r="13" spans="1:22" x14ac:dyDescent="0.25">
      <c r="A13" s="31"/>
      <c r="B13" s="25"/>
      <c r="C13" s="25"/>
      <c r="D13" s="25"/>
      <c r="E13" s="25"/>
      <c r="F13" s="28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12"/>
      <c r="U13" s="12"/>
      <c r="V13" s="35"/>
    </row>
    <row r="14" spans="1:22" x14ac:dyDescent="0.25">
      <c r="A14" s="31"/>
      <c r="B14" s="25"/>
      <c r="C14" s="25"/>
      <c r="D14" s="25"/>
      <c r="E14" s="25"/>
      <c r="F14" s="28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12"/>
      <c r="U14" s="12"/>
      <c r="V14" s="35"/>
    </row>
    <row r="15" spans="1:22" x14ac:dyDescent="0.25">
      <c r="A15" s="31"/>
      <c r="B15" s="25"/>
      <c r="C15" s="25"/>
      <c r="D15" s="25"/>
      <c r="E15" s="25"/>
      <c r="F15" s="28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12"/>
      <c r="U15" s="12"/>
      <c r="V15" s="35"/>
    </row>
    <row r="16" spans="1:22" x14ac:dyDescent="0.25">
      <c r="A16" s="31"/>
      <c r="B16" s="25"/>
      <c r="C16" s="25"/>
      <c r="D16" s="25"/>
      <c r="E16" s="25"/>
      <c r="F16" s="28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12"/>
      <c r="U16" s="12"/>
      <c r="V16" s="36"/>
    </row>
    <row r="17" spans="1:22" x14ac:dyDescent="0.25">
      <c r="A17" s="33" t="s">
        <v>51</v>
      </c>
      <c r="B17" s="27">
        <f>SUM(B8:B16)</f>
        <v>0.6</v>
      </c>
      <c r="C17" s="27">
        <f>SUM(C8:C16)</f>
        <v>1.32</v>
      </c>
      <c r="D17" s="27">
        <v>35</v>
      </c>
      <c r="E17" s="27">
        <f>SUM(E8:E16)</f>
        <v>14.3</v>
      </c>
      <c r="F17" s="29">
        <f>SUM(F8:F16)</f>
        <v>25</v>
      </c>
      <c r="G17" s="27">
        <f>SUM(G8:G16)</f>
        <v>10.45</v>
      </c>
      <c r="H17" s="27">
        <f>SUM(H8:H16)</f>
        <v>119.25</v>
      </c>
      <c r="I17" s="27">
        <f>costos_var21606[[#This Row],[Costo Total]]*0.0295</f>
        <v>3.5178749999999996</v>
      </c>
      <c r="J17" s="27">
        <f>costos_var21606[[#This Row],[Costo Total]]*0.03</f>
        <v>3.5774999999999997</v>
      </c>
      <c r="K17" s="27">
        <f>SUM(costos_var21606[[#This Row],[Costo Total]],costos_var21606[[#This Row],[comisión sobre transacción ]],costos_var21606[[#This Row],[costo de envío interno en china ]])</f>
        <v>126.345375</v>
      </c>
      <c r="L17" s="27">
        <f t="shared" ref="L17:S17" si="0">SUM(L8:L16)</f>
        <v>20.02</v>
      </c>
      <c r="M17" s="27">
        <f t="shared" si="0"/>
        <v>28.6</v>
      </c>
      <c r="N17" s="27">
        <f t="shared" si="0"/>
        <v>48.62</v>
      </c>
      <c r="O17" s="27">
        <f t="shared" si="0"/>
        <v>174.96537499999999</v>
      </c>
      <c r="P17" s="27">
        <f t="shared" si="0"/>
        <v>15.559775000000002</v>
      </c>
      <c r="Q17" s="27">
        <f t="shared" si="0"/>
        <v>43.46</v>
      </c>
      <c r="R17" s="27">
        <f t="shared" si="0"/>
        <v>515.90000000000009</v>
      </c>
      <c r="S17" s="27">
        <f t="shared" si="0"/>
        <v>340.93462500000004</v>
      </c>
      <c r="T17" s="22"/>
      <c r="U17" s="22"/>
      <c r="V17" s="9"/>
    </row>
    <row r="18" spans="1:22" x14ac:dyDescent="0.25">
      <c r="A18" s="31"/>
      <c r="B18" s="25"/>
      <c r="C18" s="25"/>
      <c r="D18" s="25"/>
      <c r="E18" s="25"/>
      <c r="F18" s="28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9"/>
      <c r="T18" s="9"/>
      <c r="U18" s="9"/>
      <c r="V18" s="9"/>
    </row>
    <row r="19" spans="1:22" x14ac:dyDescent="0.25">
      <c r="A19" s="31"/>
      <c r="B19" s="25"/>
      <c r="C19" s="25"/>
      <c r="D19" s="25"/>
      <c r="E19" s="25"/>
      <c r="F19" s="28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9"/>
      <c r="T19" s="9"/>
      <c r="U19" s="9"/>
      <c r="V19" s="9"/>
    </row>
    <row r="20" spans="1:22" x14ac:dyDescent="0.25">
      <c r="A20" s="31"/>
      <c r="B20" s="25"/>
      <c r="C20" s="25"/>
      <c r="D20" s="25"/>
      <c r="E20" s="25"/>
      <c r="F20" s="28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9"/>
      <c r="T20" s="9"/>
      <c r="U20" s="9"/>
      <c r="V20" s="9"/>
    </row>
    <row r="21" spans="1:22" x14ac:dyDescent="0.25"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</row>
    <row r="22" spans="1:22" x14ac:dyDescent="0.25">
      <c r="A22" s="11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34"/>
      <c r="M22" s="34"/>
      <c r="N22" s="25"/>
      <c r="O22" s="25"/>
      <c r="P22" s="25"/>
      <c r="Q22" s="25"/>
      <c r="R22" s="25"/>
      <c r="S22" s="26"/>
      <c r="T22" s="26"/>
      <c r="U22" s="26"/>
    </row>
    <row r="23" spans="1:22" x14ac:dyDescent="0.25">
      <c r="S23" s="26"/>
      <c r="T23" s="26"/>
      <c r="U23" s="26"/>
    </row>
    <row r="24" spans="1:22" x14ac:dyDescent="0.25">
      <c r="F24" s="14"/>
      <c r="G24" s="14"/>
      <c r="H24" s="14"/>
    </row>
    <row r="25" spans="1:22" x14ac:dyDescent="0.25">
      <c r="F25" s="14"/>
      <c r="G25" s="14"/>
      <c r="H25" s="14"/>
    </row>
    <row r="26" spans="1:22" x14ac:dyDescent="0.25">
      <c r="F26" s="16"/>
      <c r="G26" s="16"/>
      <c r="H26" s="16"/>
    </row>
    <row r="27" spans="1:22" x14ac:dyDescent="0.25">
      <c r="D27" s="15"/>
      <c r="E27" s="16"/>
      <c r="F27" s="14"/>
      <c r="G27" s="14"/>
      <c r="H27" s="14"/>
    </row>
    <row r="28" spans="1:22" x14ac:dyDescent="0.25">
      <c r="D28" s="13"/>
      <c r="E28" s="14"/>
      <c r="F28" s="14"/>
      <c r="G28" s="14"/>
      <c r="H28" s="14"/>
    </row>
    <row r="29" spans="1:22" ht="18" customHeight="1" x14ac:dyDescent="0.25">
      <c r="A29" s="17" t="s">
        <v>17</v>
      </c>
      <c r="B29" s="17" t="s">
        <v>26</v>
      </c>
      <c r="D29" s="15"/>
      <c r="E29" s="16"/>
      <c r="F29" s="16"/>
      <c r="G29" s="1"/>
      <c r="H29" s="1"/>
      <c r="I29" s="1"/>
    </row>
    <row r="30" spans="1:22" ht="15" customHeight="1" x14ac:dyDescent="0.25">
      <c r="A30" s="18" t="s">
        <v>27</v>
      </c>
      <c r="B30" s="19">
        <f>R17</f>
        <v>515.90000000000009</v>
      </c>
      <c r="D30" s="7" t="s">
        <v>24</v>
      </c>
      <c r="E30" s="7" t="s">
        <v>5</v>
      </c>
      <c r="F30" s="14"/>
      <c r="G30" s="18"/>
      <c r="H30" s="18"/>
      <c r="I30" s="18"/>
    </row>
    <row r="31" spans="1:22" ht="45" x14ac:dyDescent="0.25">
      <c r="A31" s="1"/>
      <c r="B31" s="1"/>
      <c r="D31" s="5" t="s">
        <v>25</v>
      </c>
      <c r="E31" s="5">
        <v>2</v>
      </c>
      <c r="F31" s="14"/>
      <c r="G31" s="1"/>
      <c r="H31" s="1"/>
      <c r="I31" s="1"/>
    </row>
    <row r="32" spans="1:22" ht="32.25" customHeight="1" x14ac:dyDescent="0.25">
      <c r="A32" s="18" t="s">
        <v>28</v>
      </c>
      <c r="B32" s="1"/>
      <c r="D32" s="5" t="s">
        <v>6</v>
      </c>
      <c r="E32" s="5" t="s">
        <v>19</v>
      </c>
      <c r="F32" s="16"/>
      <c r="G32" s="18"/>
      <c r="H32" s="18"/>
      <c r="I32" s="18"/>
    </row>
    <row r="33" spans="1:11" x14ac:dyDescent="0.25">
      <c r="A33" s="1" t="s">
        <v>29</v>
      </c>
      <c r="B33" s="30">
        <f>SUM(K8:K15)</f>
        <v>126.345375</v>
      </c>
      <c r="C33" s="5"/>
      <c r="D33" s="15"/>
      <c r="E33" s="16"/>
      <c r="F33" s="14"/>
      <c r="G33" s="18"/>
      <c r="H33" s="18"/>
      <c r="I33" s="18"/>
    </row>
    <row r="34" spans="1:11" x14ac:dyDescent="0.25">
      <c r="A34" s="1" t="s">
        <v>30</v>
      </c>
      <c r="B34" s="3">
        <f>SUM(N8:N15)</f>
        <v>48.62</v>
      </c>
      <c r="C34" s="5"/>
      <c r="D34" s="13"/>
      <c r="E34" s="14"/>
      <c r="F34" s="14"/>
      <c r="G34" s="1"/>
      <c r="H34" s="1"/>
      <c r="I34" s="1"/>
    </row>
    <row r="35" spans="1:11" ht="34.5" customHeight="1" x14ac:dyDescent="0.25">
      <c r="A35" s="1" t="s">
        <v>31</v>
      </c>
      <c r="B35" s="3">
        <f>SUM(O17:O20)</f>
        <v>174.96537499999999</v>
      </c>
      <c r="C35" s="14"/>
      <c r="D35" s="14"/>
      <c r="E35" s="14"/>
      <c r="F35" s="16"/>
      <c r="G35" s="1"/>
      <c r="H35" s="1"/>
      <c r="I35" s="1"/>
    </row>
    <row r="36" spans="1:11" ht="31.5" customHeight="1" x14ac:dyDescent="0.25">
      <c r="A36" s="18" t="s">
        <v>32</v>
      </c>
      <c r="B36" s="20">
        <f>SUM(B33:B35)</f>
        <v>349.93074999999999</v>
      </c>
      <c r="C36" s="14"/>
      <c r="D36" s="14"/>
      <c r="E36" s="14"/>
      <c r="F36" s="14"/>
      <c r="G36" s="18"/>
      <c r="H36" s="18"/>
      <c r="I36" s="18"/>
    </row>
    <row r="37" spans="1:11" ht="35.25" customHeight="1" x14ac:dyDescent="0.25">
      <c r="A37" s="1"/>
      <c r="B37" s="1"/>
      <c r="C37" s="16"/>
      <c r="D37" s="16"/>
      <c r="E37" s="16"/>
      <c r="F37" s="14"/>
      <c r="G37" s="1"/>
      <c r="H37" s="1"/>
      <c r="I37" s="1"/>
    </row>
    <row r="38" spans="1:11" x14ac:dyDescent="0.25">
      <c r="A38" s="18" t="s">
        <v>33</v>
      </c>
      <c r="B38" s="2">
        <f>B30-B33-B34</f>
        <v>340.9346250000001</v>
      </c>
      <c r="F38" s="16"/>
      <c r="G38" s="18"/>
      <c r="H38" s="18" t="s">
        <v>43</v>
      </c>
      <c r="I38" s="18" t="s">
        <v>44</v>
      </c>
      <c r="J38" s="18" t="s">
        <v>45</v>
      </c>
      <c r="K38" s="18"/>
    </row>
    <row r="39" spans="1:11" ht="29.25" customHeight="1" x14ac:dyDescent="0.25">
      <c r="A39" s="18" t="s">
        <v>34</v>
      </c>
      <c r="B39" s="2">
        <f>B38-B35</f>
        <v>165.9692500000001</v>
      </c>
      <c r="F39" s="14"/>
      <c r="G39" s="18"/>
      <c r="H39" s="18" t="s">
        <v>47</v>
      </c>
      <c r="I39" s="18">
        <v>2</v>
      </c>
      <c r="J39">
        <v>2</v>
      </c>
    </row>
    <row r="40" spans="1:11" ht="32.25" customHeight="1" x14ac:dyDescent="0.25">
      <c r="A40" s="1"/>
      <c r="B40" s="1"/>
      <c r="F40" s="14"/>
      <c r="G40" s="1"/>
      <c r="H40" s="1" t="s">
        <v>48</v>
      </c>
      <c r="I40" s="1">
        <v>3</v>
      </c>
      <c r="J40">
        <v>3</v>
      </c>
    </row>
    <row r="41" spans="1:11" x14ac:dyDescent="0.25">
      <c r="A41" s="18" t="s">
        <v>35</v>
      </c>
      <c r="B41" s="1"/>
      <c r="F41" s="16"/>
      <c r="G41" s="1"/>
      <c r="H41" s="1" t="s">
        <v>46</v>
      </c>
      <c r="I41" s="1">
        <v>5</v>
      </c>
      <c r="J41">
        <v>5</v>
      </c>
    </row>
    <row r="42" spans="1:11" x14ac:dyDescent="0.25">
      <c r="A42" s="1" t="s">
        <v>36</v>
      </c>
      <c r="B42" s="21">
        <f>B38/B30</f>
        <v>0.6608540899399109</v>
      </c>
      <c r="C42" s="5"/>
      <c r="F42" s="14"/>
      <c r="G42" s="1"/>
      <c r="H42" s="21"/>
    </row>
    <row r="43" spans="1:11" x14ac:dyDescent="0.25">
      <c r="A43" s="1" t="s">
        <v>37</v>
      </c>
      <c r="B43" s="21">
        <f>B39/B30</f>
        <v>0.32170817987982181</v>
      </c>
      <c r="G43" s="1"/>
      <c r="H43" s="21"/>
    </row>
    <row r="44" spans="1:11" ht="39.75" customHeight="1" x14ac:dyDescent="0.25">
      <c r="A44" s="1" t="s">
        <v>38</v>
      </c>
      <c r="B44" s="21">
        <f>B39/B36</f>
        <v>0.4742916991433308</v>
      </c>
      <c r="G44" s="1"/>
      <c r="H44" s="21"/>
    </row>
    <row r="45" spans="1:11" ht="29.25" customHeight="1" x14ac:dyDescent="0.25"/>
    <row r="57" spans="4:11" x14ac:dyDescent="0.25">
      <c r="I57" s="5"/>
      <c r="J57" s="5"/>
      <c r="K57" s="5"/>
    </row>
    <row r="58" spans="4:11" x14ac:dyDescent="0.25">
      <c r="I58" s="5"/>
      <c r="J58" s="5"/>
      <c r="K58" s="10"/>
    </row>
    <row r="59" spans="4:11" x14ac:dyDescent="0.25">
      <c r="I59" s="5"/>
      <c r="J59" s="5"/>
      <c r="K59" s="5"/>
    </row>
    <row r="60" spans="4:11" x14ac:dyDescent="0.25">
      <c r="J60" s="10"/>
      <c r="K60" s="5"/>
    </row>
    <row r="61" spans="4:11" x14ac:dyDescent="0.25">
      <c r="I61" s="10"/>
      <c r="J61" s="5"/>
      <c r="K61" s="5"/>
    </row>
    <row r="62" spans="4:11" x14ac:dyDescent="0.25">
      <c r="D62" s="5"/>
      <c r="E62" s="5"/>
      <c r="I62" s="5"/>
      <c r="J62" s="5"/>
      <c r="K62" s="8"/>
    </row>
    <row r="63" spans="4:11" x14ac:dyDescent="0.25">
      <c r="E63" s="5"/>
      <c r="I63" s="5"/>
      <c r="J63" s="5"/>
      <c r="K63" s="5"/>
    </row>
    <row r="64" spans="4:11" x14ac:dyDescent="0.25">
      <c r="I64" s="5"/>
      <c r="J64" s="5"/>
      <c r="K64" s="5"/>
    </row>
    <row r="65" spans="1:11" x14ac:dyDescent="0.25">
      <c r="I65" s="5"/>
      <c r="J65" s="5"/>
      <c r="K65" s="5"/>
    </row>
    <row r="66" spans="1:11" x14ac:dyDescent="0.25">
      <c r="C66" s="5"/>
      <c r="F66" s="5"/>
      <c r="G66" s="5"/>
      <c r="H66" s="5"/>
      <c r="I66" s="5"/>
      <c r="J66" s="5"/>
      <c r="K66" t="s">
        <v>7</v>
      </c>
    </row>
    <row r="67" spans="1:11" x14ac:dyDescent="0.25">
      <c r="F67" s="5"/>
      <c r="G67" s="5"/>
      <c r="H67" s="5"/>
      <c r="I67" s="5"/>
      <c r="J67" s="5"/>
    </row>
    <row r="68" spans="1:11" x14ac:dyDescent="0.25">
      <c r="A68" s="5"/>
      <c r="B68" s="5"/>
    </row>
  </sheetData>
  <mergeCells count="1">
    <mergeCell ref="A6:B6"/>
  </mergeCells>
  <phoneticPr fontId="6" type="noConversion"/>
  <hyperlinks>
    <hyperlink ref="V8" r:id="rId1" xr:uid="{2AF8F605-1595-42DC-B16A-41E0B504794B}"/>
    <hyperlink ref="V9" r:id="rId2" xr:uid="{02685AB3-C8D3-4D25-A1DD-81499F91A4A0}"/>
  </hyperlinks>
  <pageMargins left="0.7" right="0.7" top="0.75" bottom="0.75" header="0.3" footer="0.3"/>
  <drawing r:id="rId3"/>
  <tableParts count="4"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249ED-6913-4107-B988-2EE6569B36E3}">
  <dimension ref="A1:V44"/>
  <sheetViews>
    <sheetView topLeftCell="A3" zoomScale="70" zoomScaleNormal="70" workbookViewId="0">
      <selection activeCell="V10" sqref="V10"/>
    </sheetView>
  </sheetViews>
  <sheetFormatPr baseColWidth="10" defaultRowHeight="15" x14ac:dyDescent="0.25"/>
  <cols>
    <col min="1" max="1" width="28.7109375" customWidth="1"/>
  </cols>
  <sheetData>
    <row r="1" spans="1:22" ht="22.5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5"/>
    </row>
    <row r="2" spans="1:22" ht="22.5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5"/>
    </row>
    <row r="3" spans="1:22" ht="22.5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5"/>
    </row>
    <row r="4" spans="1:2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22" ht="45" x14ac:dyDescent="0.25">
      <c r="A5" s="5"/>
      <c r="B5" s="5"/>
      <c r="C5" s="5"/>
      <c r="D5" s="5"/>
      <c r="E5" s="5"/>
      <c r="F5" s="6" t="s">
        <v>4</v>
      </c>
      <c r="G5" s="6">
        <v>36.619999999999997</v>
      </c>
      <c r="H5" s="5"/>
      <c r="I5" s="5"/>
      <c r="J5" s="5"/>
      <c r="K5" s="5"/>
      <c r="P5">
        <f>(P15*2)</f>
        <v>5.3285</v>
      </c>
      <c r="R5">
        <v>4</v>
      </c>
    </row>
    <row r="6" spans="1:22" ht="18.75" x14ac:dyDescent="0.25">
      <c r="A6" s="38" t="s">
        <v>9</v>
      </c>
      <c r="B6" s="38"/>
      <c r="C6" s="9"/>
      <c r="D6" s="9"/>
      <c r="E6" s="9"/>
      <c r="F6" s="9"/>
      <c r="G6" s="9"/>
      <c r="H6" s="9"/>
      <c r="I6" s="9"/>
      <c r="J6" s="5"/>
      <c r="K6" s="5"/>
    </row>
    <row r="7" spans="1:22" ht="60" x14ac:dyDescent="0.25">
      <c r="A7" s="23" t="s">
        <v>1</v>
      </c>
      <c r="B7" s="23" t="s">
        <v>16</v>
      </c>
      <c r="C7" s="23" t="s">
        <v>2</v>
      </c>
      <c r="D7" s="23" t="s">
        <v>15</v>
      </c>
      <c r="E7" s="23" t="s">
        <v>3</v>
      </c>
      <c r="F7" s="23" t="s">
        <v>0</v>
      </c>
      <c r="G7" s="23" t="s">
        <v>12</v>
      </c>
      <c r="H7" s="23" t="s">
        <v>8</v>
      </c>
      <c r="I7" s="23" t="s">
        <v>40</v>
      </c>
      <c r="J7" s="23" t="s">
        <v>41</v>
      </c>
      <c r="K7" s="23" t="s">
        <v>42</v>
      </c>
      <c r="L7" s="23" t="s">
        <v>10</v>
      </c>
      <c r="M7" s="23" t="s">
        <v>39</v>
      </c>
      <c r="N7" s="23" t="s">
        <v>14</v>
      </c>
      <c r="O7" s="23" t="s">
        <v>11</v>
      </c>
      <c r="P7" s="23" t="s">
        <v>13</v>
      </c>
      <c r="Q7" s="24" t="s">
        <v>18</v>
      </c>
      <c r="R7" s="24" t="s">
        <v>20</v>
      </c>
      <c r="S7" s="23" t="s">
        <v>21</v>
      </c>
      <c r="T7" s="23" t="s">
        <v>22</v>
      </c>
      <c r="U7" s="23" t="s">
        <v>23</v>
      </c>
      <c r="V7" s="23" t="s">
        <v>49</v>
      </c>
    </row>
    <row r="8" spans="1:22" x14ac:dyDescent="0.25">
      <c r="A8" s="31" t="s">
        <v>70</v>
      </c>
      <c r="B8" s="25">
        <v>0.53</v>
      </c>
      <c r="C8" s="25">
        <f>costos_var2160615[[#This Row],[Peso del producto en Kg]]*2.2</f>
        <v>1.1660000000000001</v>
      </c>
      <c r="D8" s="25">
        <f>costos_var2160615[[#This Row],[Cantidad]]*costos_var2160615[[#This Row],[Peso del producto en Kg]]</f>
        <v>11.66</v>
      </c>
      <c r="E8" s="25">
        <f>costos_var2160615[[#This Row],[Peso total en Kg]]*2.2</f>
        <v>25.652000000000001</v>
      </c>
      <c r="F8" s="28">
        <v>22</v>
      </c>
      <c r="G8" s="25">
        <v>5.19</v>
      </c>
      <c r="H8" s="25">
        <f>costos_var2160615[[#This Row],[Cantidad]]*costos_var2160615[[#This Row],[Costo Unitario ($)]]</f>
        <v>114.18</v>
      </c>
      <c r="I8" s="25">
        <f>costos_var2160615[[#This Row],[Costo Total]]*0.06</f>
        <v>6.8508000000000004</v>
      </c>
      <c r="J8" s="25">
        <f>costos_var2160615[[#This Row],[Costo Total]]*0.035</f>
        <v>3.9963000000000006</v>
      </c>
      <c r="K8" s="25">
        <f>SUM(costos_var2160615[[#This Row],[Costo Total]],costos_var2160615[[#This Row],[comisión sobre transacción ]],costos_var2160615[[#This Row],[costo de envío interno en china ]])</f>
        <v>125.02710000000002</v>
      </c>
      <c r="L8" s="25">
        <f>1.4*costos_var2160615[[#This Row],[Peso total (libras)]]</f>
        <v>35.912799999999997</v>
      </c>
      <c r="M8" s="25">
        <f>costos_var2160615[[#This Row],[Peso total (libras)]]*$E$31</f>
        <v>51.304000000000002</v>
      </c>
      <c r="N8" s="25">
        <f>SUM(costos_var2160615[[#This Row],[Costo Envío China-USA]],costos_var2160615[[#This Row],[Costo Envío  USA-NIC ($)]])</f>
        <v>87.216800000000006</v>
      </c>
      <c r="O8" s="25">
        <f>SUM(costos_var2160615[[#This Row],[Costo envío Total ($)]], costos_var2160615[[#This Row],[Costo Total]], costos_var2160615[[#This Row],[comisión sobre transacción ]], costos_var2160615[[#This Row],[costo de envío interno en china ]])</f>
        <v>212.2439</v>
      </c>
      <c r="P8" s="25">
        <f>costos_var2160615[[#This Row],[Costo Total Lote ($)]]/costos_var2160615[[#This Row],[Cantidad]]</f>
        <v>9.6474499999999992</v>
      </c>
      <c r="Q8" s="25">
        <v>16</v>
      </c>
      <c r="R8" s="25">
        <f>costos_var2160615[[#This Row],[Cantidad]]*costos_var2160615[[#This Row],[Precio de venta]]</f>
        <v>352</v>
      </c>
      <c r="S8" s="25">
        <f>costos_var2160615[[#This Row],[Ingreso total  por producto]]-costos_var2160615[[#This Row],[Costo Total Lote ($)]]</f>
        <v>139.7561</v>
      </c>
      <c r="T8" s="12">
        <f>((costos_var2160615[[#This Row],[Precio de venta]]-costos_var2160615[[#This Row],[Costo Unitario NIC]])/costos_var2160615[[#This Row],[Costo Unitario NIC]])</f>
        <v>0.65846933645678407</v>
      </c>
      <c r="U8" s="12">
        <f>((costos_var2160615[[#This Row],[Precio de venta]]-costos_var2160615[[#This Row],[Costo Unitario NIC]])/costos_var2160615[[#This Row],[Precio de venta]])</f>
        <v>0.39703437500000005</v>
      </c>
      <c r="V8" s="35" t="s">
        <v>50</v>
      </c>
    </row>
    <row r="9" spans="1:22" x14ac:dyDescent="0.25">
      <c r="A9" s="31" t="s">
        <v>71</v>
      </c>
      <c r="B9" s="25">
        <v>0.1</v>
      </c>
      <c r="C9" s="25">
        <f>costos_var2160615[[#This Row],[Peso del producto en Kg]]*2.2</f>
        <v>0.22000000000000003</v>
      </c>
      <c r="D9" s="25">
        <f>costos_var2160615[[#This Row],[Cantidad]]*costos_var2160615[[#This Row],[Peso del producto en Kg]]</f>
        <v>1.5</v>
      </c>
      <c r="E9" s="25">
        <f>costos_var2160615[[#This Row],[Peso total en Kg]]*2.2</f>
        <v>3.3000000000000003</v>
      </c>
      <c r="F9" s="28">
        <v>15</v>
      </c>
      <c r="G9" s="25">
        <v>3.8</v>
      </c>
      <c r="H9" s="25">
        <f>costos_var2160615[[#This Row],[Cantidad]]*costos_var2160615[[#This Row],[Costo Unitario ($)]]</f>
        <v>57</v>
      </c>
      <c r="I9" s="25">
        <f>costos_var2160615[[#This Row],[Costo Total]]*0.06</f>
        <v>3.42</v>
      </c>
      <c r="J9" s="25">
        <f>costos_var2160615[[#This Row],[Costo Total]]*0.035</f>
        <v>1.9950000000000001</v>
      </c>
      <c r="K9" s="25">
        <f>SUM(costos_var2160615[[#This Row],[Costo Total]],costos_var2160615[[#This Row],[comisión sobre transacción ]],costos_var2160615[[#This Row],[costo de envío interno en china ]])</f>
        <v>62.414999999999999</v>
      </c>
      <c r="L9" s="25">
        <f>1.4*costos_var2160615[[#This Row],[Peso total (libras)]]</f>
        <v>4.62</v>
      </c>
      <c r="M9" s="25">
        <f>costos_var2160615[[#This Row],[Peso total (libras)]]*$E$31</f>
        <v>6.6000000000000005</v>
      </c>
      <c r="N9" s="25">
        <f>SUM(costos_var2160615[[#This Row],[Costo Envío China-USA]],costos_var2160615[[#This Row],[Costo Envío  USA-NIC ($)]])</f>
        <v>11.22</v>
      </c>
      <c r="O9" s="25">
        <f>SUM(costos_var2160615[[#This Row],[Costo envío Total ($)]], costos_var2160615[[#This Row],[Costo Total]], costos_var2160615[[#This Row],[comisión sobre transacción ]], costos_var2160615[[#This Row],[costo de envío interno en china ]])</f>
        <v>73.635000000000005</v>
      </c>
      <c r="P9" s="25">
        <f>costos_var2160615[[#This Row],[Costo Total Lote ($)]]/costos_var2160615[[#This Row],[Cantidad]]</f>
        <v>4.9090000000000007</v>
      </c>
      <c r="Q9" s="25">
        <v>8.1999999999999993</v>
      </c>
      <c r="R9" s="25">
        <f>costos_var2160615[[#This Row],[Cantidad]]*costos_var2160615[[#This Row],[Precio de venta]]</f>
        <v>122.99999999999999</v>
      </c>
      <c r="S9" s="25">
        <f>costos_var2160615[[#This Row],[Ingreso total  por producto]]-costos_var2160615[[#This Row],[Costo Total Lote ($)]]</f>
        <v>49.364999999999981</v>
      </c>
      <c r="T9" s="12">
        <f>((costos_var2160615[[#This Row],[Precio de venta]]-costos_var2160615[[#This Row],[Costo Unitario NIC]])/costos_var2160615[[#This Row],[Costo Unitario NIC]])</f>
        <v>0.67040130372784645</v>
      </c>
      <c r="U9" s="12">
        <f>((costos_var2160615[[#This Row],[Precio de venta]]-costos_var2160615[[#This Row],[Costo Unitario NIC]])/costos_var2160615[[#This Row],[Precio de venta]])</f>
        <v>0.401341463414634</v>
      </c>
      <c r="V9" s="35" t="s">
        <v>50</v>
      </c>
    </row>
    <row r="10" spans="1:22" x14ac:dyDescent="0.25">
      <c r="A10" s="32" t="s">
        <v>72</v>
      </c>
      <c r="B10" s="25">
        <v>0.4</v>
      </c>
      <c r="C10" s="25">
        <f>costos_var2160615[[#This Row],[Peso del producto en Kg]]*2.2</f>
        <v>0.88000000000000012</v>
      </c>
      <c r="D10" s="25">
        <f>costos_var2160615[[#This Row],[Cantidad]]*costos_var2160615[[#This Row],[Peso del producto en Kg]]</f>
        <v>4</v>
      </c>
      <c r="E10" s="25">
        <f t="shared" ref="E10:E16" si="0">PRODUCT(F10,C10)</f>
        <v>8.8000000000000007</v>
      </c>
      <c r="F10" s="28">
        <v>10</v>
      </c>
      <c r="G10" s="25">
        <v>2.81</v>
      </c>
      <c r="H10" s="25">
        <f>costos_var2160615[[#This Row],[Cantidad]]*costos_var2160615[[#This Row],[Costo Unitario ($)]]</f>
        <v>28.1</v>
      </c>
      <c r="I10" s="25">
        <f>costos_var2160615[[#This Row],[Costo Total]]*0.06</f>
        <v>1.6859999999999999</v>
      </c>
      <c r="J10" s="25">
        <f>costos_var2160615[[#This Row],[Costo Total]]*0.035</f>
        <v>0.98350000000000015</v>
      </c>
      <c r="K10" s="25">
        <f>SUM(costos_var2160615[[#This Row],[Costo Total]],costos_var2160615[[#This Row],[comisión sobre transacción ]],costos_var2160615[[#This Row],[costo de envío interno en china ]])</f>
        <v>30.769500000000001</v>
      </c>
      <c r="L10" s="25">
        <f>1.4*costos_var2160615[[#This Row],[Peso total (libras)]]</f>
        <v>12.32</v>
      </c>
      <c r="M10" s="25">
        <f>costos_var2160615[[#This Row],[Peso total (libras)]]*$E$31</f>
        <v>17.600000000000001</v>
      </c>
      <c r="N10" s="25">
        <f>SUM(costos_var2160615[[#This Row],[Costo Envío China-USA]],costos_var2160615[[#This Row],[Costo Envío  USA-NIC ($)]])</f>
        <v>29.92</v>
      </c>
      <c r="O10" s="25">
        <f>SUM(costos_var2160615[[#This Row],[Costo envío Total ($)]], costos_var2160615[[#This Row],[Costo Total]], costos_var2160615[[#This Row],[comisión sobre transacción ]], costos_var2160615[[#This Row],[costo de envío interno en china ]])</f>
        <v>60.689500000000002</v>
      </c>
      <c r="P10" s="25">
        <f>costos_var2160615[[#This Row],[Costo Total Lote ($)]]/costos_var2160615[[#This Row],[Cantidad]]</f>
        <v>6.0689500000000001</v>
      </c>
      <c r="Q10" s="25">
        <v>10.1</v>
      </c>
      <c r="R10" s="25">
        <f>costos_var2160615[[#This Row],[Cantidad]]*costos_var2160615[[#This Row],[Precio de venta]]</f>
        <v>101</v>
      </c>
      <c r="S10" s="25">
        <f>costos_var2160615[[#This Row],[Ingreso total  por producto]]-costos_var2160615[[#This Row],[Costo Total Lote ($)]]</f>
        <v>40.310499999999998</v>
      </c>
      <c r="T10" s="12">
        <f>((costos_var2160615[[#This Row],[Precio de venta]]-costos_var2160615[[#This Row],[Costo Unitario NIC]])/costos_var2160615[[#This Row],[Costo Unitario NIC]])</f>
        <v>0.66420880053386488</v>
      </c>
      <c r="U10" s="12">
        <f>((costos_var2160615[[#This Row],[Precio de venta]]-costos_var2160615[[#This Row],[Costo Unitario NIC]])/costos_var2160615[[#This Row],[Precio de venta]])</f>
        <v>0.39911386138613858</v>
      </c>
      <c r="V10" s="35" t="s">
        <v>50</v>
      </c>
    </row>
    <row r="11" spans="1:22" x14ac:dyDescent="0.25">
      <c r="A11" s="31" t="s">
        <v>73</v>
      </c>
      <c r="B11" s="25">
        <v>0.1</v>
      </c>
      <c r="C11" s="25">
        <f>costos_var2160615[[#This Row],[Peso del producto en Kg]]*2.2</f>
        <v>0.22000000000000003</v>
      </c>
      <c r="D11" s="25">
        <f>costos_var2160615[[#This Row],[Cantidad]]*costos_var2160615[[#This Row],[Peso del producto en Kg]]</f>
        <v>0.8</v>
      </c>
      <c r="E11" s="25">
        <f t="shared" si="0"/>
        <v>1.7600000000000002</v>
      </c>
      <c r="F11" s="28">
        <v>8</v>
      </c>
      <c r="G11" s="25">
        <v>1.23</v>
      </c>
      <c r="H11" s="25">
        <f>costos_var2160615[[#This Row],[Cantidad]]*costos_var2160615[[#This Row],[Costo Unitario ($)]]</f>
        <v>9.84</v>
      </c>
      <c r="I11" s="25">
        <f>costos_var2160615[[#This Row],[Costo Total]]*0.06</f>
        <v>0.59039999999999992</v>
      </c>
      <c r="J11" s="25">
        <f>costos_var2160615[[#This Row],[Costo Total]]*0.035</f>
        <v>0.34440000000000004</v>
      </c>
      <c r="K11" s="25">
        <f>SUM(costos_var2160615[[#This Row],[Costo Total]],costos_var2160615[[#This Row],[comisión sobre transacción ]],costos_var2160615[[#This Row],[costo de envío interno en china ]])</f>
        <v>10.774800000000001</v>
      </c>
      <c r="L11" s="25">
        <f>1.4*costos_var2160615[[#This Row],[Peso total (libras)]]</f>
        <v>2.464</v>
      </c>
      <c r="M11" s="25">
        <f>costos_var2160615[[#This Row],[Peso total (libras)]]*$E$31</f>
        <v>3.5200000000000005</v>
      </c>
      <c r="N11" s="25">
        <f>SUM(costos_var2160615[[#This Row],[Costo Envío China-USA]],costos_var2160615[[#This Row],[Costo Envío  USA-NIC ($)]])</f>
        <v>5.984</v>
      </c>
      <c r="O11" s="25">
        <f>SUM(costos_var2160615[[#This Row],[Costo envío Total ($)]], costos_var2160615[[#This Row],[Costo Total]], costos_var2160615[[#This Row],[comisión sobre transacción ]], costos_var2160615[[#This Row],[costo de envío interno en china ]])</f>
        <v>16.758800000000001</v>
      </c>
      <c r="P11" s="25">
        <f>costos_var2160615[[#This Row],[Costo Total Lote ($)]]/costos_var2160615[[#This Row],[Cantidad]]</f>
        <v>2.0948500000000001</v>
      </c>
      <c r="Q11" s="25">
        <v>3.5</v>
      </c>
      <c r="R11" s="25">
        <f>costos_var2160615[[#This Row],[Cantidad]]*costos_var2160615[[#This Row],[Precio de venta]]</f>
        <v>28</v>
      </c>
      <c r="S11" s="25">
        <f>costos_var2160615[[#This Row],[Ingreso total  por producto]]-costos_var2160615[[#This Row],[Costo Total Lote ($)]]</f>
        <v>11.241199999999999</v>
      </c>
      <c r="T11" s="12">
        <f>((costos_var2160615[[#This Row],[Precio de venta]]-costos_var2160615[[#This Row],[Costo Unitario NIC]])/costos_var2160615[[#This Row],[Costo Unitario NIC]])</f>
        <v>0.67076401651669559</v>
      </c>
      <c r="U11" s="12">
        <f>((costos_var2160615[[#This Row],[Precio de venta]]-costos_var2160615[[#This Row],[Costo Unitario NIC]])/costos_var2160615[[#This Row],[Precio de venta]])</f>
        <v>0.40147142857142853</v>
      </c>
      <c r="V11" s="35" t="s">
        <v>50</v>
      </c>
    </row>
    <row r="12" spans="1:22" x14ac:dyDescent="0.25">
      <c r="A12" s="31" t="s">
        <v>74</v>
      </c>
      <c r="B12" s="25">
        <v>0.2</v>
      </c>
      <c r="C12" s="25">
        <f>costos_var2160615[[#This Row],[Peso del producto en Kg]]*2.2</f>
        <v>0.44000000000000006</v>
      </c>
      <c r="D12" s="25">
        <f>costos_var2160615[[#This Row],[Cantidad]]*costos_var2160615[[#This Row],[Peso del producto en Kg]]</f>
        <v>4</v>
      </c>
      <c r="E12" s="25">
        <f t="shared" si="0"/>
        <v>8.8000000000000007</v>
      </c>
      <c r="F12" s="28">
        <v>20</v>
      </c>
      <c r="G12" s="25">
        <v>4.91</v>
      </c>
      <c r="H12" s="25">
        <f>costos_var2160615[[#This Row],[Cantidad]]*costos_var2160615[[#This Row],[Costo Unitario ($)]]</f>
        <v>98.2</v>
      </c>
      <c r="I12" s="25">
        <f>costos_var2160615[[#This Row],[Costo Total]]*0.06</f>
        <v>5.8920000000000003</v>
      </c>
      <c r="J12" s="25">
        <f>costos_var2160615[[#This Row],[Costo Total]]*0.035</f>
        <v>3.4370000000000003</v>
      </c>
      <c r="K12" s="25">
        <f>SUM(costos_var2160615[[#This Row],[Costo Total]],costos_var2160615[[#This Row],[comisión sobre transacción ]],costos_var2160615[[#This Row],[costo de envío interno en china ]])</f>
        <v>107.529</v>
      </c>
      <c r="L12" s="25">
        <f>1.4*costos_var2160615[[#This Row],[Peso total (libras)]]</f>
        <v>12.32</v>
      </c>
      <c r="M12" s="25">
        <f>costos_var2160615[[#This Row],[Peso total (libras)]]*$E$31</f>
        <v>17.600000000000001</v>
      </c>
      <c r="N12" s="25">
        <f>SUM(costos_var2160615[[#This Row],[Costo Envío China-USA]],costos_var2160615[[#This Row],[Costo Envío  USA-NIC ($)]])</f>
        <v>29.92</v>
      </c>
      <c r="O12" s="25">
        <f>SUM(costos_var2160615[[#This Row],[Costo envío Total ($)]], costos_var2160615[[#This Row],[Costo Total]], costos_var2160615[[#This Row],[comisión sobre transacción ]], costos_var2160615[[#This Row],[costo de envío interno en china ]])</f>
        <v>137.44900000000001</v>
      </c>
      <c r="P12" s="25">
        <f>costos_var2160615[[#This Row],[Costo Total Lote ($)]]/costos_var2160615[[#This Row],[Cantidad]]</f>
        <v>6.8724500000000006</v>
      </c>
      <c r="Q12" s="25">
        <v>11.5</v>
      </c>
      <c r="R12" s="25">
        <f>costos_var2160615[[#This Row],[Cantidad]]*costos_var2160615[[#This Row],[Precio de venta]]</f>
        <v>230</v>
      </c>
      <c r="S12" s="25">
        <f>costos_var2160615[[#This Row],[Ingreso total  por producto]]-costos_var2160615[[#This Row],[Costo Total Lote ($)]]</f>
        <v>92.550999999999988</v>
      </c>
      <c r="T12" s="12">
        <f>((costos_var2160615[[#This Row],[Precio de venta]]-costos_var2160615[[#This Row],[Costo Unitario NIC]])/costos_var2160615[[#This Row],[Costo Unitario NIC]])</f>
        <v>0.67334793268776039</v>
      </c>
      <c r="U12" s="12">
        <f>((costos_var2160615[[#This Row],[Precio de venta]]-costos_var2160615[[#This Row],[Costo Unitario NIC]])/costos_var2160615[[#This Row],[Precio de venta]])</f>
        <v>0.40239565217391299</v>
      </c>
      <c r="V12" s="35" t="s">
        <v>50</v>
      </c>
    </row>
    <row r="13" spans="1:22" x14ac:dyDescent="0.25">
      <c r="A13" s="31" t="s">
        <v>75</v>
      </c>
      <c r="B13" s="25">
        <v>0.2</v>
      </c>
      <c r="C13" s="25">
        <f>costos_var2160615[[#This Row],[Peso del producto en Kg]]*2.2</f>
        <v>0.44000000000000006</v>
      </c>
      <c r="D13" s="25">
        <f>costos_var2160615[[#This Row],[Cantidad]]*costos_var2160615[[#This Row],[Peso del producto en Kg]]</f>
        <v>2</v>
      </c>
      <c r="E13" s="25">
        <f t="shared" si="0"/>
        <v>4.4000000000000004</v>
      </c>
      <c r="F13" s="28">
        <v>10</v>
      </c>
      <c r="G13" s="25">
        <v>5.61</v>
      </c>
      <c r="H13" s="25">
        <f>costos_var2160615[[#This Row],[Cantidad]]*costos_var2160615[[#This Row],[Costo Unitario ($)]]</f>
        <v>56.1</v>
      </c>
      <c r="I13" s="25">
        <f>costos_var2160615[[#This Row],[Costo Total]]*0.06</f>
        <v>3.3660000000000001</v>
      </c>
      <c r="J13" s="25">
        <f>costos_var2160615[[#This Row],[Costo Total]]*0.035</f>
        <v>1.9635000000000002</v>
      </c>
      <c r="K13" s="25">
        <f>SUM(costos_var2160615[[#This Row],[Costo Total]],costos_var2160615[[#This Row],[comisión sobre transacción ]],costos_var2160615[[#This Row],[costo de envío interno en china ]])</f>
        <v>61.429500000000004</v>
      </c>
      <c r="L13" s="25">
        <f>1.4*costos_var2160615[[#This Row],[Peso total (libras)]]</f>
        <v>6.16</v>
      </c>
      <c r="M13" s="25">
        <f>costos_var2160615[[#This Row],[Peso total (libras)]]*$E$31</f>
        <v>8.8000000000000007</v>
      </c>
      <c r="N13" s="25">
        <f>SUM(costos_var2160615[[#This Row],[Costo Envío China-USA]],costos_var2160615[[#This Row],[Costo Envío  USA-NIC ($)]])</f>
        <v>14.96</v>
      </c>
      <c r="O13" s="25">
        <f>SUM(costos_var2160615[[#This Row],[Costo envío Total ($)]], costos_var2160615[[#This Row],[Costo Total]], costos_var2160615[[#This Row],[comisión sobre transacción ]], costos_var2160615[[#This Row],[costo de envío interno en china ]])</f>
        <v>76.389499999999998</v>
      </c>
      <c r="P13" s="25">
        <f>costos_var2160615[[#This Row],[Costo Total Lote ($)]]/costos_var2160615[[#This Row],[Cantidad]]</f>
        <v>7.6389499999999995</v>
      </c>
      <c r="Q13" s="25">
        <v>12.8</v>
      </c>
      <c r="R13" s="25">
        <f>costos_var2160615[[#This Row],[Cantidad]]*costos_var2160615[[#This Row],[Precio de venta]]</f>
        <v>128</v>
      </c>
      <c r="S13" s="25">
        <f>costos_var2160615[[#This Row],[Ingreso total  por producto]]-costos_var2160615[[#This Row],[Costo Total Lote ($)]]</f>
        <v>51.610500000000002</v>
      </c>
      <c r="T13" s="12">
        <f>((costos_var2160615[[#This Row],[Precio de venta]]-costos_var2160615[[#This Row],[Costo Unitario NIC]])/costos_var2160615[[#This Row],[Costo Unitario NIC]])</f>
        <v>0.67562295865269462</v>
      </c>
      <c r="U13" s="12">
        <f>((costos_var2160615[[#This Row],[Precio de venta]]-costos_var2160615[[#This Row],[Costo Unitario NIC]])/costos_var2160615[[#This Row],[Precio de venta]])</f>
        <v>0.40320703125000007</v>
      </c>
      <c r="V13" s="35" t="s">
        <v>50</v>
      </c>
    </row>
    <row r="14" spans="1:22" x14ac:dyDescent="0.25">
      <c r="A14" s="31" t="s">
        <v>83</v>
      </c>
      <c r="B14" s="25">
        <v>0.2</v>
      </c>
      <c r="C14" s="25">
        <f>costos_var2160615[[#This Row],[Peso del producto en Kg]]*2.2</f>
        <v>0.44000000000000006</v>
      </c>
      <c r="D14" s="25">
        <f>costos_var2160615[[#This Row],[Cantidad]]*costos_var2160615[[#This Row],[Peso del producto en Kg]]</f>
        <v>2.4000000000000004</v>
      </c>
      <c r="E14" s="25">
        <f t="shared" si="0"/>
        <v>5.2800000000000011</v>
      </c>
      <c r="F14" s="28">
        <v>12</v>
      </c>
      <c r="G14" s="25">
        <v>3.91</v>
      </c>
      <c r="H14" s="25">
        <f>costos_var2160615[[#This Row],[Cantidad]]*costos_var2160615[[#This Row],[Costo Unitario ($)]]</f>
        <v>46.92</v>
      </c>
      <c r="I14" s="25">
        <f>costos_var2160615[[#This Row],[Costo Total]]*0.06</f>
        <v>2.8151999999999999</v>
      </c>
      <c r="J14" s="25">
        <f>costos_var2160615[[#This Row],[Costo Total]]*0.035</f>
        <v>1.6422000000000003</v>
      </c>
      <c r="K14" s="25">
        <f>SUM(costos_var2160615[[#This Row],[Costo Total]],costos_var2160615[[#This Row],[comisión sobre transacción ]],costos_var2160615[[#This Row],[costo de envío interno en china ]])</f>
        <v>51.377400000000002</v>
      </c>
      <c r="L14" s="25">
        <f>1.4*costos_var2160615[[#This Row],[Peso total (libras)]]</f>
        <v>7.3920000000000012</v>
      </c>
      <c r="M14" s="25">
        <f>costos_var2160615[[#This Row],[Peso total (libras)]]*$E$31</f>
        <v>10.560000000000002</v>
      </c>
      <c r="N14" s="25">
        <f>SUM(costos_var2160615[[#This Row],[Costo Envío China-USA]],costos_var2160615[[#This Row],[Costo Envío  USA-NIC ($)]])</f>
        <v>17.952000000000005</v>
      </c>
      <c r="O14" s="25">
        <f>SUM(costos_var2160615[[#This Row],[Costo envío Total ($)]], costos_var2160615[[#This Row],[Costo Total]], costos_var2160615[[#This Row],[comisión sobre transacción ]], costos_var2160615[[#This Row],[costo de envío interno en china ]])</f>
        <v>69.329400000000021</v>
      </c>
      <c r="P14" s="25">
        <f>costos_var2160615[[#This Row],[Costo Total Lote ($)]]/costos_var2160615[[#This Row],[Cantidad]]</f>
        <v>5.7774500000000018</v>
      </c>
      <c r="Q14" s="25">
        <v>9.6</v>
      </c>
      <c r="R14" s="25">
        <f>costos_var2160615[[#This Row],[Cantidad]]*costos_var2160615[[#This Row],[Precio de venta]]</f>
        <v>115.19999999999999</v>
      </c>
      <c r="S14" s="25">
        <f>costos_var2160615[[#This Row],[Ingreso total  por producto]]-costos_var2160615[[#This Row],[Costo Total Lote ($)]]</f>
        <v>45.870599999999968</v>
      </c>
      <c r="T14" s="12">
        <f>((costos_var2160615[[#This Row],[Precio de venta]]-costos_var2160615[[#This Row],[Costo Unitario NIC]])/costos_var2160615[[#This Row],[Costo Unitario NIC]])</f>
        <v>0.66163272724125644</v>
      </c>
      <c r="U14" s="12">
        <f>((costos_var2160615[[#This Row],[Precio de venta]]-costos_var2160615[[#This Row],[Costo Unitario NIC]])/costos_var2160615[[#This Row],[Precio de venta]])</f>
        <v>0.39818229166666647</v>
      </c>
      <c r="V14" s="35" t="s">
        <v>50</v>
      </c>
    </row>
    <row r="15" spans="1:22" x14ac:dyDescent="0.25">
      <c r="A15" s="31" t="s">
        <v>76</v>
      </c>
      <c r="B15" s="25">
        <v>0.1</v>
      </c>
      <c r="C15" s="25">
        <f>costos_var2160615[[#This Row],[Peso del producto en Kg]]*2.2</f>
        <v>0.22000000000000003</v>
      </c>
      <c r="D15" s="25">
        <f>costos_var2160615[[#This Row],[Cantidad]]*costos_var2160615[[#This Row],[Peso del producto en Kg]]</f>
        <v>2</v>
      </c>
      <c r="E15" s="25">
        <f t="shared" si="0"/>
        <v>4.4000000000000004</v>
      </c>
      <c r="F15" s="28">
        <v>20</v>
      </c>
      <c r="G15" s="25">
        <v>1.75</v>
      </c>
      <c r="H15" s="25">
        <f>costos_var2160615[[#This Row],[Cantidad]]*costos_var2160615[[#This Row],[Costo Unitario ($)]]</f>
        <v>35</v>
      </c>
      <c r="I15" s="25">
        <f>costos_var2160615[[#This Row],[Costo Total]]*0.06</f>
        <v>2.1</v>
      </c>
      <c r="J15" s="25">
        <f>costos_var2160615[[#This Row],[Costo Total]]*0.035</f>
        <v>1.2250000000000001</v>
      </c>
      <c r="K15" s="25">
        <f>SUM(costos_var2160615[[#This Row],[Costo Total]],costos_var2160615[[#This Row],[comisión sobre transacción ]],costos_var2160615[[#This Row],[costo de envío interno en china ]])</f>
        <v>38.325000000000003</v>
      </c>
      <c r="L15" s="25">
        <f>1.4*costos_var2160615[[#This Row],[Peso total (libras)]]</f>
        <v>6.16</v>
      </c>
      <c r="M15" s="25">
        <f>costos_var2160615[[#This Row],[Peso total (libras)]]*$E$31</f>
        <v>8.8000000000000007</v>
      </c>
      <c r="N15" s="25">
        <f>SUM(costos_var2160615[[#This Row],[Costo Envío China-USA]],costos_var2160615[[#This Row],[Costo Envío  USA-NIC ($)]])</f>
        <v>14.96</v>
      </c>
      <c r="O15" s="25">
        <f>SUM(costos_var2160615[[#This Row],[Costo envío Total ($)]], costos_var2160615[[#This Row],[Costo Total]], costos_var2160615[[#This Row],[comisión sobre transacción ]], costos_var2160615[[#This Row],[costo de envío interno en china ]])</f>
        <v>53.285000000000004</v>
      </c>
      <c r="P15" s="25">
        <f>costos_var2160615[[#This Row],[Costo Total Lote ($)]]/costos_var2160615[[#This Row],[Cantidad]]</f>
        <v>2.66425</v>
      </c>
      <c r="Q15" s="25">
        <v>6</v>
      </c>
      <c r="R15" s="25">
        <f>costos_var2160615[[#This Row],[Cantidad]]*costos_var2160615[[#This Row],[Precio de venta]]</f>
        <v>120</v>
      </c>
      <c r="S15" s="25">
        <f>costos_var2160615[[#This Row],[Ingreso total  por producto]]-costos_var2160615[[#This Row],[Costo Total Lote ($)]]</f>
        <v>66.715000000000003</v>
      </c>
      <c r="T15" s="12">
        <f>((costos_var2160615[[#This Row],[Precio de venta]]-costos_var2160615[[#This Row],[Costo Unitario NIC]])/costos_var2160615[[#This Row],[Costo Unitario NIC]])</f>
        <v>1.2520409120765694</v>
      </c>
      <c r="U15" s="12">
        <f>((costos_var2160615[[#This Row],[Precio de venta]]-costos_var2160615[[#This Row],[Costo Unitario NIC]])/costos_var2160615[[#This Row],[Precio de venta]])</f>
        <v>0.55595833333333333</v>
      </c>
      <c r="V15" s="35" t="s">
        <v>50</v>
      </c>
    </row>
    <row r="16" spans="1:22" x14ac:dyDescent="0.25">
      <c r="A16" s="31" t="s">
        <v>52</v>
      </c>
      <c r="B16" s="25">
        <v>0.2</v>
      </c>
      <c r="C16" s="25">
        <f>costos_var2160615[[#This Row],[Peso del producto en Kg]]*2.2</f>
        <v>0.44000000000000006</v>
      </c>
      <c r="D16" s="25">
        <f>costos_var2160615[[#This Row],[Cantidad]]*costos_var2160615[[#This Row],[Peso del producto en Kg]]</f>
        <v>10</v>
      </c>
      <c r="E16" s="25">
        <f t="shared" si="0"/>
        <v>22.000000000000004</v>
      </c>
      <c r="F16" s="28">
        <v>50</v>
      </c>
      <c r="G16" s="25">
        <v>1.8</v>
      </c>
      <c r="H16" s="25">
        <f>costos_var2160615[[#This Row],[Cantidad]]*costos_var2160615[[#This Row],[Costo Unitario ($)]]</f>
        <v>90</v>
      </c>
      <c r="I16" s="25">
        <f>costos_var2160615[[#This Row],[Costo Total]]*0.06</f>
        <v>5.3999999999999995</v>
      </c>
      <c r="J16" s="25">
        <f>costos_var2160615[[#This Row],[Costo Total]]*0.035</f>
        <v>3.1500000000000004</v>
      </c>
      <c r="K16" s="25">
        <f>SUM(costos_var2160615[[#This Row],[Costo Total]],costos_var2160615[[#This Row],[comisión sobre transacción ]],costos_var2160615[[#This Row],[costo de envío interno en china ]])</f>
        <v>98.550000000000011</v>
      </c>
      <c r="L16" s="25">
        <f>1.4*costos_var2160615[[#This Row],[Peso total (libras)]]</f>
        <v>30.800000000000004</v>
      </c>
      <c r="M16" s="25">
        <f>costos_var2160615[[#This Row],[Peso total (libras)]]*$E$31</f>
        <v>44.000000000000007</v>
      </c>
      <c r="N16" s="25">
        <f>SUM(costos_var2160615[[#This Row],[Costo Envío China-USA]],costos_var2160615[[#This Row],[Costo Envío  USA-NIC ($)]])</f>
        <v>74.800000000000011</v>
      </c>
      <c r="O16" s="25">
        <f>SUM(costos_var2160615[[#This Row],[Costo envío Total ($)]], costos_var2160615[[#This Row],[Costo Total]], costos_var2160615[[#This Row],[comisión sobre transacción ]], costos_var2160615[[#This Row],[costo de envío interno en china ]])</f>
        <v>173.35000000000002</v>
      </c>
      <c r="P16" s="25">
        <f>costos_var2160615[[#This Row],[Costo Total Lote ($)]]/costos_var2160615[[#This Row],[Cantidad]]</f>
        <v>3.4670000000000005</v>
      </c>
      <c r="Q16" s="25">
        <v>6</v>
      </c>
      <c r="R16" s="25">
        <f>costos_var2160615[[#This Row],[Cantidad]]*costos_var2160615[[#This Row],[Precio de venta]]</f>
        <v>300</v>
      </c>
      <c r="S16" s="25">
        <f>costos_var2160615[[#This Row],[Ingreso total  por producto]]-costos_var2160615[[#This Row],[Costo Total Lote ($)]]</f>
        <v>126.64999999999998</v>
      </c>
      <c r="T16" s="12">
        <f>((costos_var2160615[[#This Row],[Precio de venta]]-costos_var2160615[[#This Row],[Costo Unitario NIC]])/costos_var2160615[[#This Row],[Costo Unitario NIC]])</f>
        <v>0.73060282665128329</v>
      </c>
      <c r="U16" s="12">
        <f>((costos_var2160615[[#This Row],[Precio de venta]]-costos_var2160615[[#This Row],[Costo Unitario NIC]])/costos_var2160615[[#This Row],[Precio de venta]])</f>
        <v>0.42216666666666658</v>
      </c>
      <c r="V16" s="36" t="s">
        <v>50</v>
      </c>
    </row>
    <row r="17" spans="1:22" x14ac:dyDescent="0.25">
      <c r="A17" s="33" t="s">
        <v>51</v>
      </c>
      <c r="B17" s="27">
        <f>SUM(B8:B16)</f>
        <v>2.0300000000000002</v>
      </c>
      <c r="C17" s="27">
        <f>SUM(C8:C16)</f>
        <v>4.4660000000000002</v>
      </c>
      <c r="D17" s="27">
        <v>35</v>
      </c>
      <c r="E17" s="27">
        <f>SUM(E8:E16)</f>
        <v>84.391999999999996</v>
      </c>
      <c r="F17" s="29">
        <f>SUM(F8:F16)</f>
        <v>167</v>
      </c>
      <c r="G17" s="27">
        <f>SUM(G8:G16)</f>
        <v>31.01</v>
      </c>
      <c r="H17" s="27">
        <f>SUM(H8:H16)</f>
        <v>535.34</v>
      </c>
      <c r="I17" s="25">
        <f>costos_var2160615[[#This Row],[Costo Total]]*0.06</f>
        <v>32.120400000000004</v>
      </c>
      <c r="J17" s="25">
        <f>costos_var2160615[[#This Row],[Costo Total]]*0.035</f>
        <v>18.736900000000002</v>
      </c>
      <c r="K17" s="27">
        <f>SUM(costos_var2160615[[#This Row],[Costo Total]],costos_var2160615[[#This Row],[comisión sobre transacción ]],costos_var2160615[[#This Row],[costo de envío interno en china ]])</f>
        <v>586.19730000000004</v>
      </c>
      <c r="L17" s="27">
        <f t="shared" ref="L17:S17" si="1">SUM(L8:L16)</f>
        <v>118.14879999999999</v>
      </c>
      <c r="M17" s="27">
        <f t="shared" si="1"/>
        <v>168.78399999999999</v>
      </c>
      <c r="N17" s="27">
        <f t="shared" si="1"/>
        <v>286.93280000000004</v>
      </c>
      <c r="O17" s="27">
        <f t="shared" si="1"/>
        <v>873.13010000000008</v>
      </c>
      <c r="P17" s="27">
        <f t="shared" si="1"/>
        <v>49.140350000000005</v>
      </c>
      <c r="Q17" s="27">
        <f t="shared" si="1"/>
        <v>83.699999999999989</v>
      </c>
      <c r="R17" s="27">
        <f t="shared" si="1"/>
        <v>1497.2</v>
      </c>
      <c r="S17" s="27">
        <f t="shared" si="1"/>
        <v>624.06989999999996</v>
      </c>
      <c r="T17" s="22"/>
      <c r="U17" s="22"/>
      <c r="V17" s="9"/>
    </row>
    <row r="18" spans="1:22" x14ac:dyDescent="0.25">
      <c r="A18" s="31"/>
      <c r="B18" s="25"/>
      <c r="C18" s="25"/>
      <c r="D18" s="25"/>
      <c r="E18" s="25"/>
      <c r="F18" s="28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9"/>
      <c r="T18" s="9"/>
      <c r="U18" s="9"/>
      <c r="V18" s="9"/>
    </row>
    <row r="19" spans="1:22" x14ac:dyDescent="0.25">
      <c r="A19" s="31"/>
      <c r="B19" s="25"/>
      <c r="C19" s="25"/>
      <c r="D19" s="25"/>
      <c r="E19" s="25"/>
      <c r="F19" s="28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9"/>
      <c r="T19" s="9"/>
      <c r="U19" s="9"/>
      <c r="V19" s="9"/>
    </row>
    <row r="20" spans="1:22" x14ac:dyDescent="0.25">
      <c r="A20" s="31"/>
      <c r="B20" s="25"/>
      <c r="C20" s="25"/>
      <c r="D20" s="25"/>
      <c r="E20" s="25"/>
      <c r="F20" s="28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9"/>
      <c r="T20" s="9"/>
      <c r="U20" s="9"/>
      <c r="V20" s="9"/>
    </row>
    <row r="21" spans="1:22" x14ac:dyDescent="0.25"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</row>
    <row r="22" spans="1:22" x14ac:dyDescent="0.25">
      <c r="A22" s="11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34"/>
      <c r="M22" s="34"/>
      <c r="N22" s="25"/>
      <c r="O22" s="25"/>
      <c r="P22" s="25"/>
      <c r="Q22" s="25"/>
      <c r="R22" s="25"/>
      <c r="S22" s="26"/>
      <c r="T22" s="26"/>
      <c r="U22" s="26"/>
    </row>
    <row r="23" spans="1:22" x14ac:dyDescent="0.25">
      <c r="S23" s="26"/>
      <c r="T23" s="26"/>
      <c r="U23" s="26"/>
    </row>
    <row r="24" spans="1:22" x14ac:dyDescent="0.25">
      <c r="F24" s="14"/>
      <c r="G24" s="14"/>
      <c r="H24" s="14"/>
    </row>
    <row r="25" spans="1:22" x14ac:dyDescent="0.25">
      <c r="F25" s="14"/>
      <c r="G25" s="14"/>
      <c r="H25" s="14"/>
    </row>
    <row r="26" spans="1:22" x14ac:dyDescent="0.25">
      <c r="F26" s="16"/>
      <c r="G26" s="16"/>
      <c r="H26" s="16"/>
    </row>
    <row r="27" spans="1:22" x14ac:dyDescent="0.25">
      <c r="D27" s="15"/>
      <c r="E27" s="16"/>
      <c r="F27" s="14"/>
      <c r="G27" s="14"/>
      <c r="H27" s="14"/>
    </row>
    <row r="28" spans="1:22" x14ac:dyDescent="0.25">
      <c r="D28" s="13"/>
      <c r="E28" s="14"/>
      <c r="F28" s="14"/>
      <c r="G28" s="14"/>
      <c r="H28" s="14"/>
    </row>
    <row r="29" spans="1:22" ht="30" x14ac:dyDescent="0.25">
      <c r="A29" s="17" t="s">
        <v>17</v>
      </c>
      <c r="B29" s="17" t="s">
        <v>26</v>
      </c>
      <c r="D29" s="15"/>
      <c r="E29" s="16"/>
      <c r="F29" s="16"/>
      <c r="G29" s="1"/>
      <c r="H29" s="1"/>
      <c r="I29" s="1"/>
    </row>
    <row r="30" spans="1:22" ht="30" x14ac:dyDescent="0.25">
      <c r="A30" s="18" t="s">
        <v>27</v>
      </c>
      <c r="B30" s="19">
        <f>R17</f>
        <v>1497.2</v>
      </c>
      <c r="D30" s="7" t="s">
        <v>24</v>
      </c>
      <c r="E30" s="7" t="s">
        <v>5</v>
      </c>
      <c r="F30" s="14"/>
      <c r="G30" s="18"/>
      <c r="H30" s="18"/>
      <c r="I30" s="18"/>
    </row>
    <row r="31" spans="1:22" ht="45" x14ac:dyDescent="0.25">
      <c r="A31" s="1"/>
      <c r="B31" s="1"/>
      <c r="D31" s="5" t="s">
        <v>25</v>
      </c>
      <c r="E31" s="5">
        <v>2</v>
      </c>
      <c r="F31" s="14"/>
      <c r="G31" s="1"/>
      <c r="H31" s="1"/>
      <c r="I31" s="1"/>
    </row>
    <row r="32" spans="1:22" ht="45" x14ac:dyDescent="0.25">
      <c r="A32" s="18" t="s">
        <v>28</v>
      </c>
      <c r="B32" s="1"/>
      <c r="D32" s="5" t="s">
        <v>6</v>
      </c>
      <c r="E32" s="5" t="s">
        <v>19</v>
      </c>
      <c r="F32" s="16"/>
      <c r="G32" s="18"/>
      <c r="H32" s="18"/>
      <c r="I32" s="18"/>
    </row>
    <row r="33" spans="1:10" x14ac:dyDescent="0.25">
      <c r="A33" s="1" t="s">
        <v>29</v>
      </c>
      <c r="B33" s="30">
        <f>SUM(K8:K16)</f>
        <v>586.19730000000004</v>
      </c>
      <c r="C33" s="5"/>
      <c r="D33" s="15"/>
      <c r="E33" s="16"/>
      <c r="F33" s="14"/>
      <c r="G33" s="18"/>
      <c r="H33" s="18"/>
      <c r="I33" s="18"/>
    </row>
    <row r="34" spans="1:10" x14ac:dyDescent="0.25">
      <c r="A34" s="1" t="s">
        <v>30</v>
      </c>
      <c r="B34" s="3">
        <f>SUM(N8:N15)</f>
        <v>212.13280000000003</v>
      </c>
      <c r="C34" s="5"/>
      <c r="D34" s="13"/>
      <c r="E34" s="14"/>
      <c r="F34" s="14"/>
      <c r="G34" s="1"/>
      <c r="H34" s="1"/>
      <c r="I34" s="1"/>
    </row>
    <row r="35" spans="1:10" x14ac:dyDescent="0.25">
      <c r="A35" s="1" t="s">
        <v>77</v>
      </c>
      <c r="B35" s="3">
        <v>300</v>
      </c>
      <c r="C35" s="14"/>
      <c r="D35" s="14"/>
      <c r="E35" s="14"/>
      <c r="F35" s="16"/>
      <c r="G35" s="1"/>
      <c r="H35" s="1"/>
      <c r="I35" s="1"/>
    </row>
    <row r="36" spans="1:10" x14ac:dyDescent="0.25">
      <c r="A36" s="18" t="s">
        <v>32</v>
      </c>
      <c r="B36" s="20">
        <f>SUM(B33:B35)</f>
        <v>1098.3301000000001</v>
      </c>
      <c r="C36" s="14"/>
      <c r="D36" s="14"/>
      <c r="E36" s="14"/>
      <c r="F36" s="14"/>
      <c r="G36" s="18"/>
      <c r="H36" s="18"/>
      <c r="I36" s="18"/>
    </row>
    <row r="37" spans="1:10" x14ac:dyDescent="0.25">
      <c r="A37" s="1"/>
      <c r="B37" s="1"/>
      <c r="C37" s="16"/>
      <c r="D37" s="16"/>
      <c r="E37" s="16"/>
      <c r="F37" s="14"/>
      <c r="G37" s="1"/>
      <c r="H37" s="1"/>
      <c r="I37" s="1"/>
    </row>
    <row r="38" spans="1:10" ht="30" x14ac:dyDescent="0.25">
      <c r="A38" s="18" t="s">
        <v>33</v>
      </c>
      <c r="B38" s="2">
        <f>B30-B33-B34</f>
        <v>698.86989999999992</v>
      </c>
      <c r="F38" s="16"/>
      <c r="G38" s="18"/>
      <c r="H38" s="18" t="s">
        <v>78</v>
      </c>
      <c r="I38" s="18" t="s">
        <v>79</v>
      </c>
      <c r="J38" s="18"/>
    </row>
    <row r="39" spans="1:10" x14ac:dyDescent="0.25">
      <c r="A39" s="18" t="s">
        <v>34</v>
      </c>
      <c r="B39" s="2">
        <f>B38-B35</f>
        <v>398.86989999999992</v>
      </c>
      <c r="F39" s="14"/>
      <c r="G39" s="18"/>
      <c r="H39" s="18" t="s">
        <v>80</v>
      </c>
      <c r="I39" s="18">
        <v>200</v>
      </c>
    </row>
    <row r="40" spans="1:10" x14ac:dyDescent="0.25">
      <c r="A40" s="1"/>
      <c r="B40" s="1"/>
      <c r="F40" s="14"/>
      <c r="G40" s="1"/>
      <c r="H40" s="1" t="s">
        <v>81</v>
      </c>
      <c r="I40" s="1">
        <v>50</v>
      </c>
    </row>
    <row r="41" spans="1:10" x14ac:dyDescent="0.25">
      <c r="A41" s="18" t="s">
        <v>35</v>
      </c>
      <c r="B41" s="1"/>
      <c r="F41" s="16"/>
      <c r="G41" s="1"/>
      <c r="H41" s="1" t="s">
        <v>82</v>
      </c>
      <c r="I41" s="1">
        <v>50</v>
      </c>
    </row>
    <row r="42" spans="1:10" ht="30" x14ac:dyDescent="0.25">
      <c r="A42" s="1" t="s">
        <v>36</v>
      </c>
      <c r="B42" s="21">
        <f>B38/B30</f>
        <v>0.46678459791610999</v>
      </c>
      <c r="C42" s="5"/>
      <c r="F42" s="14"/>
      <c r="G42" s="1"/>
      <c r="H42" s="21"/>
    </row>
    <row r="43" spans="1:10" ht="30" x14ac:dyDescent="0.25">
      <c r="A43" s="1" t="s">
        <v>37</v>
      </c>
      <c r="B43" s="21">
        <f>B39/B30</f>
        <v>0.26641056639059574</v>
      </c>
      <c r="G43" s="1"/>
      <c r="H43" s="21"/>
    </row>
    <row r="44" spans="1:10" ht="30" x14ac:dyDescent="0.25">
      <c r="A44" s="1" t="s">
        <v>38</v>
      </c>
      <c r="B44" s="21">
        <f>B39/B36</f>
        <v>0.36316031036570867</v>
      </c>
      <c r="G44" s="1"/>
      <c r="H44" s="21"/>
    </row>
  </sheetData>
  <mergeCells count="1">
    <mergeCell ref="A6:B6"/>
  </mergeCells>
  <hyperlinks>
    <hyperlink ref="V8" r:id="rId1" xr:uid="{656065E7-3694-4B9E-B806-E8DEFF40C627}"/>
    <hyperlink ref="V9" r:id="rId2" xr:uid="{784325B6-F0C0-497B-B4FC-79CB8AA5D1C1}"/>
    <hyperlink ref="V11" r:id="rId3" xr:uid="{C2CB6FD9-7370-4FA0-92E0-AD49987A8DC1}"/>
    <hyperlink ref="V13" r:id="rId4" xr:uid="{6E444448-A16B-4BED-9BEC-47D9F079DF7E}"/>
    <hyperlink ref="V12" r:id="rId5" xr:uid="{F1B5C7E7-7B57-46CF-B8CB-A5747C80B3F4}"/>
    <hyperlink ref="V14" r:id="rId6" xr:uid="{A66A11B8-6E9F-49F9-957E-9CD5017F9BEB}"/>
    <hyperlink ref="V15" r:id="rId7" xr:uid="{3B77211E-36C3-4E5D-B6AB-5D57BEDA9F67}"/>
    <hyperlink ref="V10" r:id="rId8" xr:uid="{0870D806-ACFF-4148-BF30-A00403806E12}"/>
    <hyperlink ref="V16" r:id="rId9" xr:uid="{E17E0B60-7C62-468B-8C28-1E533BD7EB24}"/>
  </hyperlinks>
  <pageMargins left="0.7" right="0.7" top="0.75" bottom="0.75" header="0.3" footer="0.3"/>
  <drawing r:id="rId10"/>
  <tableParts count="4">
    <tablePart r:id="rId11"/>
    <tablePart r:id="rId12"/>
    <tablePart r:id="rId13"/>
    <tablePart r:id="rId1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884E4-8A6B-4C89-AAB4-60EDF6D8869B}">
  <dimension ref="A3:W44"/>
  <sheetViews>
    <sheetView topLeftCell="J6" workbookViewId="0">
      <selection activeCell="W11" sqref="W11"/>
    </sheetView>
  </sheetViews>
  <sheetFormatPr baseColWidth="10" defaultRowHeight="15" x14ac:dyDescent="0.25"/>
  <cols>
    <col min="2" max="2" width="34.5703125" customWidth="1"/>
    <col min="3" max="3" width="13.5703125" customWidth="1"/>
  </cols>
  <sheetData>
    <row r="3" spans="2:23" ht="22.5" x14ac:dyDescent="0.25">
      <c r="B3" s="4"/>
      <c r="C3" s="4"/>
      <c r="D3" s="4"/>
      <c r="E3" s="4"/>
      <c r="F3" s="4"/>
      <c r="G3" s="4"/>
      <c r="H3" s="4"/>
      <c r="I3" s="4"/>
      <c r="J3" s="4"/>
      <c r="K3" s="4"/>
      <c r="L3" s="5"/>
    </row>
    <row r="4" spans="2:23" ht="22.5" x14ac:dyDescent="0.25">
      <c r="B4" s="4"/>
      <c r="C4" s="4"/>
      <c r="D4" s="4"/>
      <c r="E4" s="4"/>
      <c r="F4" s="4"/>
      <c r="G4" s="4"/>
      <c r="H4" s="4"/>
      <c r="I4" s="4"/>
      <c r="J4" s="4"/>
      <c r="K4" s="4"/>
      <c r="L4" s="5"/>
    </row>
    <row r="5" spans="2:23" x14ac:dyDescent="0.25"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2:23" ht="45" x14ac:dyDescent="0.25">
      <c r="B6" s="5"/>
      <c r="C6" s="5"/>
      <c r="D6" s="5"/>
      <c r="E6" s="5"/>
      <c r="F6" s="5"/>
      <c r="G6" s="6" t="s">
        <v>4</v>
      </c>
      <c r="H6" s="6">
        <v>36.619999999999997</v>
      </c>
      <c r="I6" s="5"/>
      <c r="J6" s="5"/>
      <c r="K6" s="5"/>
      <c r="L6" s="5"/>
    </row>
    <row r="7" spans="2:23" ht="18.75" x14ac:dyDescent="0.25">
      <c r="B7" s="38" t="s">
        <v>54</v>
      </c>
      <c r="C7" s="38"/>
      <c r="D7" s="9"/>
      <c r="E7" s="9"/>
      <c r="F7" s="9"/>
      <c r="G7" s="9"/>
      <c r="H7" s="9"/>
      <c r="I7" s="9"/>
      <c r="J7" s="9"/>
      <c r="K7" s="5"/>
      <c r="L7" s="5"/>
    </row>
    <row r="8" spans="2:23" ht="60" x14ac:dyDescent="0.25">
      <c r="B8" s="23" t="s">
        <v>1</v>
      </c>
      <c r="C8" s="23" t="s">
        <v>16</v>
      </c>
      <c r="D8" s="23" t="s">
        <v>2</v>
      </c>
      <c r="E8" s="23" t="s">
        <v>15</v>
      </c>
      <c r="F8" s="23" t="s">
        <v>3</v>
      </c>
      <c r="G8" s="23" t="s">
        <v>0</v>
      </c>
      <c r="H8" s="23" t="s">
        <v>12</v>
      </c>
      <c r="I8" s="23" t="s">
        <v>8</v>
      </c>
      <c r="J8" s="23" t="s">
        <v>40</v>
      </c>
      <c r="K8" s="23" t="s">
        <v>41</v>
      </c>
      <c r="L8" s="23" t="s">
        <v>42</v>
      </c>
      <c r="M8" s="23" t="s">
        <v>10</v>
      </c>
      <c r="N8" s="23" t="s">
        <v>39</v>
      </c>
      <c r="O8" s="23" t="s">
        <v>14</v>
      </c>
      <c r="P8" s="23" t="s">
        <v>11</v>
      </c>
      <c r="Q8" s="23" t="s">
        <v>13</v>
      </c>
      <c r="R8" s="24" t="s">
        <v>18</v>
      </c>
      <c r="S8" s="24" t="s">
        <v>20</v>
      </c>
      <c r="T8" s="23" t="s">
        <v>21</v>
      </c>
      <c r="U8" s="23" t="s">
        <v>22</v>
      </c>
      <c r="V8" s="23" t="s">
        <v>23</v>
      </c>
      <c r="W8" s="23" t="s">
        <v>49</v>
      </c>
    </row>
    <row r="9" spans="2:23" x14ac:dyDescent="0.25">
      <c r="B9" s="31" t="s">
        <v>52</v>
      </c>
      <c r="C9" s="25">
        <v>0.2</v>
      </c>
      <c r="D9" s="25">
        <f>costos_var216062[[#This Row],[Peso del producto en Kg]]*2.2</f>
        <v>0.44000000000000006</v>
      </c>
      <c r="E9" s="25">
        <f>costos_var216062[[#This Row],[Cantidad]]*costos_var216062[[#This Row],[Peso del producto en Kg]]</f>
        <v>10</v>
      </c>
      <c r="F9" s="25">
        <f>costos_var216062[[#This Row],[Peso total en Kg]]*2.2</f>
        <v>22</v>
      </c>
      <c r="G9" s="28">
        <v>50</v>
      </c>
      <c r="H9" s="25">
        <v>1.81</v>
      </c>
      <c r="I9" s="25">
        <f>costos_var216062[[#This Row],[Cantidad]]*costos_var216062[[#This Row],[Costo Unitario ($)]]</f>
        <v>90.5</v>
      </c>
      <c r="J9" s="25">
        <f>costos_var216062[[#This Row],[Costo Total]]*0.0295</f>
        <v>2.6697500000000001</v>
      </c>
      <c r="K9" s="25">
        <f>costos_var216062[[#This Row],[Costo Total]]*0.03</f>
        <v>2.7149999999999999</v>
      </c>
      <c r="L9" s="25">
        <f>SUM(costos_var216062[[#This Row],[Costo Total]],costos_var216062[[#This Row],[comisión sobre transacción ]],costos_var216062[[#This Row],[costo de envío interno en china ]])</f>
        <v>95.884749999999997</v>
      </c>
      <c r="M9" s="25">
        <f>1.4*costos_var216062[[#This Row],[Peso total (libras)]]</f>
        <v>30.799999999999997</v>
      </c>
      <c r="N9" s="25">
        <f>costos_var216062[[#This Row],[Peso total (libras)]]*$E$31</f>
        <v>55</v>
      </c>
      <c r="O9" s="25">
        <f>SUM(costos_var216062[[#This Row],[Costo Envío China-USA]],costos_var216062[[#This Row],[Costo Envío  USA-NIC ($)]])</f>
        <v>85.8</v>
      </c>
      <c r="P9" s="25">
        <f>SUM(costos_var216062[[#This Row],[Costo envío Total ($)]], costos_var216062[[#This Row],[Costo Total]], costos_var216062[[#This Row],[comisión sobre transacción ]], costos_var216062[[#This Row],[costo de envío interno en china ]])</f>
        <v>181.68475000000001</v>
      </c>
      <c r="Q9" s="25">
        <f>costos_var216062[[#This Row],[Costo Total Lote ($)]]/costos_var216062[[#This Row],[Cantidad]]</f>
        <v>3.6336950000000003</v>
      </c>
      <c r="R9" s="25">
        <v>6.79</v>
      </c>
      <c r="S9" s="25">
        <f>costos_var216062[[#This Row],[Cantidad]]*costos_var216062[[#This Row],[Precio de venta]]</f>
        <v>339.5</v>
      </c>
      <c r="T9" s="25">
        <f>costos_var216062[[#This Row],[Ingreso total  por producto]]-costos_var216062[[#This Row],[Costo Total Lote ($)]]</f>
        <v>157.81524999999999</v>
      </c>
      <c r="U9" s="12">
        <f>((costos_var216062[[#This Row],[Precio de venta]]-costos_var216062[[#This Row],[Costo Unitario NIC]])/costos_var216062[[#This Row],[Costo Unitario NIC]])</f>
        <v>0.86862133448184264</v>
      </c>
      <c r="V9" s="12">
        <f>((costos_var216062[[#This Row],[Precio de venta]]-costos_var216062[[#This Row],[Costo Unitario NIC]])/costos_var216062[[#This Row],[Precio de venta]])</f>
        <v>0.46484609720176728</v>
      </c>
      <c r="W9" s="35" t="s">
        <v>60</v>
      </c>
    </row>
    <row r="10" spans="2:23" x14ac:dyDescent="0.25">
      <c r="B10" s="31" t="s">
        <v>53</v>
      </c>
      <c r="C10" s="25">
        <v>0.5</v>
      </c>
      <c r="D10" s="25">
        <f>costos_var216062[[#This Row],[Peso del producto en Kg]]*2.2</f>
        <v>1.1000000000000001</v>
      </c>
      <c r="E10" s="25">
        <f>costos_var216062[[#This Row],[Cantidad]]*costos_var216062[[#This Row],[Peso del producto en Kg]]</f>
        <v>25</v>
      </c>
      <c r="F10" s="25">
        <f>costos_var216062[[#This Row],[Peso total en Kg]]*2.2</f>
        <v>55.000000000000007</v>
      </c>
      <c r="G10" s="28">
        <v>50</v>
      </c>
      <c r="H10" s="25">
        <v>4.95</v>
      </c>
      <c r="I10" s="25">
        <f>costos_var216062[[#This Row],[Cantidad]]*costos_var216062[[#This Row],[Costo Unitario ($)]]</f>
        <v>247.5</v>
      </c>
      <c r="J10" s="25">
        <f>costos_var216062[[#This Row],[Costo Total]]*0.0295</f>
        <v>7.3012499999999996</v>
      </c>
      <c r="K10" s="25">
        <f>costos_var216062[[#This Row],[Costo Total]]*0.03</f>
        <v>7.4249999999999998</v>
      </c>
      <c r="L10" s="25">
        <f>SUM(costos_var216062[[#This Row],[Costo Total]],costos_var216062[[#This Row],[comisión sobre transacción ]],costos_var216062[[#This Row],[costo de envío interno en china ]])</f>
        <v>262.22624999999999</v>
      </c>
      <c r="M10" s="25">
        <f>1.4*costos_var216062[[#This Row],[Peso total (libras)]]</f>
        <v>77</v>
      </c>
      <c r="N10" s="25">
        <f>costos_var216062[[#This Row],[Peso total (libras)]]*$E$31</f>
        <v>137.50000000000003</v>
      </c>
      <c r="O10" s="25">
        <f>SUM(costos_var216062[[#This Row],[Costo Envío China-USA]],costos_var216062[[#This Row],[Costo Envío  USA-NIC ($)]])</f>
        <v>214.50000000000003</v>
      </c>
      <c r="P10" s="25">
        <f>SUM(costos_var216062[[#This Row],[Costo envío Total ($)]], costos_var216062[[#This Row],[Costo Total]], costos_var216062[[#This Row],[comisión sobre transacción ]], costos_var216062[[#This Row],[costo de envío interno en china ]])</f>
        <v>476.72624999999999</v>
      </c>
      <c r="Q10" s="25">
        <f>costos_var216062[[#This Row],[Costo Total Lote ($)]]/costos_var216062[[#This Row],[Cantidad]]</f>
        <v>9.5345250000000004</v>
      </c>
      <c r="R10" s="25">
        <v>12.26</v>
      </c>
      <c r="S10" s="25">
        <f>costos_var216062[[#This Row],[Cantidad]]*costos_var216062[[#This Row],[Precio de venta]]</f>
        <v>613</v>
      </c>
      <c r="T10" s="25">
        <f>costos_var216062[[#This Row],[Ingreso total  por producto]]-costos_var216062[[#This Row],[Costo Total Lote ($)]]</f>
        <v>136.27375000000001</v>
      </c>
      <c r="U10" s="12">
        <f>((costos_var216062[[#This Row],[Precio de venta]]-costos_var216062[[#This Row],[Costo Unitario NIC]])/costos_var216062[[#This Row],[Costo Unitario NIC]])</f>
        <v>0.28585325435719128</v>
      </c>
      <c r="V10" s="12">
        <f>((costos_var216062[[#This Row],[Precio de venta]]-costos_var216062[[#This Row],[Costo Unitario NIC]])/costos_var216062[[#This Row],[Precio de venta]])</f>
        <v>0.22230628058727564</v>
      </c>
      <c r="W10" s="35" t="s">
        <v>60</v>
      </c>
    </row>
    <row r="11" spans="2:23" x14ac:dyDescent="0.25">
      <c r="B11" s="32" t="s">
        <v>55</v>
      </c>
      <c r="C11" s="25">
        <v>0.2</v>
      </c>
      <c r="D11" s="25">
        <f>costos_var216062[[#This Row],[Peso del producto en Kg]]*2.2</f>
        <v>0.44000000000000006</v>
      </c>
      <c r="E11" s="25">
        <f>costos_var216062[[#This Row],[Cantidad]]*costos_var216062[[#This Row],[Peso del producto en Kg]]</f>
        <v>5</v>
      </c>
      <c r="F11" s="25">
        <f>PRODUCT(G11,D11)</f>
        <v>11.000000000000002</v>
      </c>
      <c r="G11" s="28">
        <v>25</v>
      </c>
      <c r="H11" s="25">
        <v>1.53</v>
      </c>
      <c r="I11" s="25">
        <f>costos_var216062[[#This Row],[Cantidad]]*costos_var216062[[#This Row],[Costo Unitario ($)]]</f>
        <v>38.25</v>
      </c>
      <c r="J11" s="25">
        <f>costos_var216062[[#This Row],[Costo Total]]*0.0295</f>
        <v>1.1283749999999999</v>
      </c>
      <c r="K11" s="25">
        <f>costos_var216062[[#This Row],[Costo Total]]*0.03</f>
        <v>1.1475</v>
      </c>
      <c r="L11" s="25">
        <f>SUM(costos_var216062[[#This Row],[Costo Total]],costos_var216062[[#This Row],[comisión sobre transacción ]],costos_var216062[[#This Row],[costo de envío interno en china ]])</f>
        <v>40.525874999999999</v>
      </c>
      <c r="M11" s="25">
        <f>1.4*costos_var216062[[#This Row],[Peso total (libras)]]</f>
        <v>15.400000000000002</v>
      </c>
      <c r="N11" s="25">
        <f>costos_var216062[[#This Row],[Peso total (libras)]]*$E$31</f>
        <v>27.500000000000004</v>
      </c>
      <c r="O11" s="25">
        <f>SUM(costos_var216062[[#This Row],[Costo Envío China-USA]],costos_var216062[[#This Row],[Costo Envío  USA-NIC ($)]])</f>
        <v>42.900000000000006</v>
      </c>
      <c r="P11" s="25">
        <f>SUM(costos_var216062[[#This Row],[Costo envío Total ($)]], costos_var216062[[#This Row],[Costo Total]], costos_var216062[[#This Row],[comisión sobre transacción ]], costos_var216062[[#This Row],[costo de envío interno en china ]])</f>
        <v>83.425875000000005</v>
      </c>
      <c r="Q11" s="25">
        <f>costos_var216062[[#This Row],[Costo Total Lote ($)]]/costos_var216062[[#This Row],[Cantidad]]</f>
        <v>3.3370350000000002</v>
      </c>
      <c r="R11" s="25">
        <v>8.15</v>
      </c>
      <c r="S11" s="25">
        <f>costos_var216062[[#This Row],[Cantidad]]*costos_var216062[[#This Row],[Precio de venta]]</f>
        <v>203.75</v>
      </c>
      <c r="T11" s="25">
        <f>costos_var216062[[#This Row],[Ingreso total  por producto]]-costos_var216062[[#This Row],[Costo Total Lote ($)]]</f>
        <v>120.324125</v>
      </c>
      <c r="U11" s="12">
        <f>((costos_var216062[[#This Row],[Precio de venta]]-costos_var216062[[#This Row],[Costo Unitario NIC]])/costos_var216062[[#This Row],[Costo Unitario NIC]])</f>
        <v>1.442287839354397</v>
      </c>
      <c r="V11" s="12">
        <f>((costos_var216062[[#This Row],[Precio de venta]]-costos_var216062[[#This Row],[Costo Unitario NIC]])/costos_var216062[[#This Row],[Precio de venta]])</f>
        <v>0.59054785276073618</v>
      </c>
      <c r="W11" s="35" t="s">
        <v>60</v>
      </c>
    </row>
    <row r="12" spans="2:23" x14ac:dyDescent="0.25">
      <c r="B12" s="31" t="s">
        <v>56</v>
      </c>
      <c r="C12" s="25">
        <v>0.2</v>
      </c>
      <c r="D12" s="25">
        <f>costos_var216062[[#This Row],[Peso del producto en Kg]]*2.2</f>
        <v>0.44000000000000006</v>
      </c>
      <c r="E12" s="25">
        <f>costos_var216062[[#This Row],[Cantidad]]*costos_var216062[[#This Row],[Peso del producto en Kg]]</f>
        <v>5</v>
      </c>
      <c r="F12" s="25">
        <f t="shared" ref="F12:F17" si="0">PRODUCT(G12,D12)</f>
        <v>11.000000000000002</v>
      </c>
      <c r="G12" s="28">
        <v>25</v>
      </c>
      <c r="H12" s="25">
        <v>1.95</v>
      </c>
      <c r="I12" s="25">
        <f>costos_var216062[[#This Row],[Cantidad]]*costos_var216062[[#This Row],[Costo Unitario ($)]]</f>
        <v>48.75</v>
      </c>
      <c r="J12" s="25">
        <f>costos_var216062[[#This Row],[Costo Total]]*0.0295</f>
        <v>1.4381249999999999</v>
      </c>
      <c r="K12" s="25">
        <f>costos_var216062[[#This Row],[Costo Total]]*0.03</f>
        <v>1.4624999999999999</v>
      </c>
      <c r="L12" s="25">
        <f>SUM(costos_var216062[[#This Row],[Costo Total]],costos_var216062[[#This Row],[comisión sobre transacción ]],costos_var216062[[#This Row],[costo de envío interno en china ]])</f>
        <v>51.650624999999998</v>
      </c>
      <c r="M12" s="25">
        <f>1.4*costos_var216062[[#This Row],[Peso total (libras)]]</f>
        <v>15.400000000000002</v>
      </c>
      <c r="N12" s="25">
        <f>costos_var216062[[#This Row],[Peso total (libras)]]*$E$31</f>
        <v>27.500000000000004</v>
      </c>
      <c r="O12" s="25">
        <f>SUM(costos_var216062[[#This Row],[Costo Envío China-USA]],costos_var216062[[#This Row],[Costo Envío  USA-NIC ($)]])</f>
        <v>42.900000000000006</v>
      </c>
      <c r="P12" s="25">
        <f>SUM(costos_var216062[[#This Row],[Costo envío Total ($)]], costos_var216062[[#This Row],[Costo Total]], costos_var216062[[#This Row],[comisión sobre transacción ]], costos_var216062[[#This Row],[costo de envío interno en china ]])</f>
        <v>94.550625000000011</v>
      </c>
      <c r="Q12" s="25">
        <f>costos_var216062[[#This Row],[Costo Total Lote ($)]]/costos_var216062[[#This Row],[Cantidad]]</f>
        <v>3.7820250000000004</v>
      </c>
      <c r="R12" s="25">
        <v>8.15</v>
      </c>
      <c r="S12" s="25">
        <f>costos_var216062[[#This Row],[Cantidad]]*costos_var216062[[#This Row],[Precio de venta]]</f>
        <v>203.75</v>
      </c>
      <c r="T12" s="25">
        <f>costos_var216062[[#This Row],[Ingreso total  por producto]]-costos_var216062[[#This Row],[Costo Total Lote ($)]]</f>
        <v>109.19937499999999</v>
      </c>
      <c r="U12" s="12">
        <f>((costos_var216062[[#This Row],[Precio de venta]]-costos_var216062[[#This Row],[Costo Unitario NIC]])/costos_var216062[[#This Row],[Costo Unitario NIC]])</f>
        <v>1.1549302291761685</v>
      </c>
      <c r="V12" s="12">
        <f>((costos_var216062[[#This Row],[Precio de venta]]-costos_var216062[[#This Row],[Costo Unitario NIC]])/costos_var216062[[#This Row],[Precio de venta]])</f>
        <v>0.53594785276073609</v>
      </c>
      <c r="W12" s="35" t="s">
        <v>60</v>
      </c>
    </row>
    <row r="13" spans="2:23" x14ac:dyDescent="0.25">
      <c r="B13" s="31" t="s">
        <v>57</v>
      </c>
      <c r="C13" s="25">
        <v>0.25</v>
      </c>
      <c r="D13" s="25">
        <f>costos_var216062[[#This Row],[Peso del producto en Kg]]*2.2</f>
        <v>0.55000000000000004</v>
      </c>
      <c r="E13" s="25">
        <f>costos_var216062[[#This Row],[Cantidad]]*costos_var216062[[#This Row],[Peso del producto en Kg]]</f>
        <v>2.5</v>
      </c>
      <c r="F13" s="25">
        <f t="shared" si="0"/>
        <v>5.5</v>
      </c>
      <c r="G13" s="28">
        <v>10</v>
      </c>
      <c r="H13" s="25">
        <v>1.4</v>
      </c>
      <c r="I13" s="25">
        <f>costos_var216062[[#This Row],[Cantidad]]*costos_var216062[[#This Row],[Costo Unitario ($)]]</f>
        <v>14</v>
      </c>
      <c r="J13" s="25">
        <f>costos_var216062[[#This Row],[Costo Total]]*0.0295</f>
        <v>0.41299999999999998</v>
      </c>
      <c r="K13" s="25">
        <f>costos_var216062[[#This Row],[Costo Total]]*0.03</f>
        <v>0.42</v>
      </c>
      <c r="L13" s="25">
        <f>SUM(costos_var216062[[#This Row],[Costo Total]],costos_var216062[[#This Row],[comisión sobre transacción ]],costos_var216062[[#This Row],[costo de envío interno en china ]])</f>
        <v>14.833</v>
      </c>
      <c r="M13" s="25">
        <f>1.4*costos_var216062[[#This Row],[Peso total (libras)]]</f>
        <v>7.6999999999999993</v>
      </c>
      <c r="N13" s="25">
        <f>costos_var216062[[#This Row],[Peso total (libras)]]*$E$31</f>
        <v>13.75</v>
      </c>
      <c r="O13" s="25">
        <f>SUM(costos_var216062[[#This Row],[Costo Envío China-USA]],costos_var216062[[#This Row],[Costo Envío  USA-NIC ($)]])</f>
        <v>21.45</v>
      </c>
      <c r="P13" s="25">
        <f>SUM(costos_var216062[[#This Row],[Costo envío Total ($)]], costos_var216062[[#This Row],[Costo Total]], costos_var216062[[#This Row],[comisión sobre transacción ]], costos_var216062[[#This Row],[costo de envío interno en china ]])</f>
        <v>36.283000000000001</v>
      </c>
      <c r="Q13" s="25">
        <f>costos_var216062[[#This Row],[Costo Total Lote ($)]]/costos_var216062[[#This Row],[Cantidad]]</f>
        <v>3.6283000000000003</v>
      </c>
      <c r="R13" s="25">
        <v>6</v>
      </c>
      <c r="S13" s="25">
        <f>costos_var216062[[#This Row],[Cantidad]]*costos_var216062[[#This Row],[Precio de venta]]</f>
        <v>60</v>
      </c>
      <c r="T13" s="25">
        <f>costos_var216062[[#This Row],[Ingreso total  por producto]]-costos_var216062[[#This Row],[Costo Total Lote ($)]]</f>
        <v>23.716999999999999</v>
      </c>
      <c r="U13" s="12">
        <f>((costos_var216062[[#This Row],[Precio de venta]]-costos_var216062[[#This Row],[Costo Unitario NIC]])/costos_var216062[[#This Row],[Costo Unitario NIC]])</f>
        <v>0.65366700658710675</v>
      </c>
      <c r="V13" s="12">
        <f>((costos_var216062[[#This Row],[Precio de venta]]-costos_var216062[[#This Row],[Costo Unitario NIC]])/costos_var216062[[#This Row],[Precio de venta]])</f>
        <v>0.39528333333333326</v>
      </c>
      <c r="W13" s="35" t="s">
        <v>58</v>
      </c>
    </row>
    <row r="14" spans="2:23" x14ac:dyDescent="0.25">
      <c r="B14" s="31" t="s">
        <v>59</v>
      </c>
      <c r="C14" s="25">
        <v>0.2</v>
      </c>
      <c r="D14" s="25">
        <f>costos_var216062[[#This Row],[Peso del producto en Kg]]*2.2</f>
        <v>0.44000000000000006</v>
      </c>
      <c r="E14" s="25">
        <f>costos_var216062[[#This Row],[Cantidad]]*costos_var216062[[#This Row],[Peso del producto en Kg]]</f>
        <v>2.4000000000000004</v>
      </c>
      <c r="F14" s="25">
        <f t="shared" si="0"/>
        <v>5.2800000000000011</v>
      </c>
      <c r="G14" s="28">
        <v>12</v>
      </c>
      <c r="H14" s="25">
        <v>1.7</v>
      </c>
      <c r="I14" s="25">
        <f>costos_var216062[[#This Row],[Cantidad]]*costos_var216062[[#This Row],[Costo Unitario ($)]]</f>
        <v>20.399999999999999</v>
      </c>
      <c r="J14" s="25">
        <f>costos_var216062[[#This Row],[Costo Total]]*0.0295</f>
        <v>0.60179999999999989</v>
      </c>
      <c r="K14" s="25">
        <f>costos_var216062[[#This Row],[Costo Total]]*0.03</f>
        <v>0.61199999999999999</v>
      </c>
      <c r="L14" s="25">
        <f>SUM(costos_var216062[[#This Row],[Costo Total]],costos_var216062[[#This Row],[comisión sobre transacción ]],costos_var216062[[#This Row],[costo de envío interno en china ]])</f>
        <v>21.613799999999998</v>
      </c>
      <c r="M14" s="25">
        <f>1.4*costos_var216062[[#This Row],[Peso total (libras)]]</f>
        <v>7.3920000000000012</v>
      </c>
      <c r="N14" s="25">
        <f>costos_var216062[[#This Row],[Peso total (libras)]]*$E$31</f>
        <v>13.200000000000003</v>
      </c>
      <c r="O14" s="25">
        <f>SUM(costos_var216062[[#This Row],[Costo Envío China-USA]],costos_var216062[[#This Row],[Costo Envío  USA-NIC ($)]])</f>
        <v>20.592000000000006</v>
      </c>
      <c r="P14" s="25">
        <f>SUM(costos_var216062[[#This Row],[Costo envío Total ($)]], costos_var216062[[#This Row],[Costo Total]], costos_var216062[[#This Row],[comisión sobre transacción ]], costos_var216062[[#This Row],[costo de envío interno en china ]])</f>
        <v>42.205800000000004</v>
      </c>
      <c r="Q14" s="25">
        <f>costos_var216062[[#This Row],[Costo Total Lote ($)]]/costos_var216062[[#This Row],[Cantidad]]</f>
        <v>3.5171500000000004</v>
      </c>
      <c r="R14" s="25">
        <v>6</v>
      </c>
      <c r="S14" s="25">
        <f>costos_var216062[[#This Row],[Cantidad]]*costos_var216062[[#This Row],[Precio de venta]]</f>
        <v>72</v>
      </c>
      <c r="T14" s="25">
        <f>costos_var216062[[#This Row],[Ingreso total  por producto]]-costos_var216062[[#This Row],[Costo Total Lote ($)]]</f>
        <v>29.794199999999996</v>
      </c>
      <c r="U14" s="12">
        <f>((costos_var216062[[#This Row],[Precio de venta]]-costos_var216062[[#This Row],[Costo Unitario NIC]])/costos_var216062[[#This Row],[Costo Unitario NIC]])</f>
        <v>0.70592667358514682</v>
      </c>
      <c r="V14" s="12">
        <f>((costos_var216062[[#This Row],[Precio de venta]]-costos_var216062[[#This Row],[Costo Unitario NIC]])/costos_var216062[[#This Row],[Precio de venta]])</f>
        <v>0.41380833333333328</v>
      </c>
      <c r="W14" s="35" t="s">
        <v>60</v>
      </c>
    </row>
    <row r="15" spans="2:23" x14ac:dyDescent="0.25">
      <c r="B15" s="31" t="s">
        <v>62</v>
      </c>
      <c r="C15" s="25">
        <v>0.2</v>
      </c>
      <c r="D15" s="25">
        <f>costos_var216062[[#This Row],[Peso del producto en Kg]]*2.2</f>
        <v>0.44000000000000006</v>
      </c>
      <c r="E15" s="25">
        <f>costos_var216062[[#This Row],[Cantidad]]*costos_var216062[[#This Row],[Peso del producto en Kg]]</f>
        <v>2</v>
      </c>
      <c r="F15" s="25">
        <f t="shared" si="0"/>
        <v>4.4000000000000004</v>
      </c>
      <c r="G15" s="28">
        <v>10</v>
      </c>
      <c r="H15" s="25">
        <v>4.38</v>
      </c>
      <c r="I15" s="25">
        <f>costos_var216062[[#This Row],[Cantidad]]*costos_var216062[[#This Row],[Costo Unitario ($)]]</f>
        <v>43.8</v>
      </c>
      <c r="J15" s="25">
        <f>costos_var216062[[#This Row],[Costo Total]]*0.0295</f>
        <v>1.2920999999999998</v>
      </c>
      <c r="K15" s="25">
        <f>costos_var216062[[#This Row],[Costo Total]]*0.03</f>
        <v>1.3139999999999998</v>
      </c>
      <c r="L15" s="25">
        <f>SUM(costos_var216062[[#This Row],[Costo Total]],costos_var216062[[#This Row],[comisión sobre transacción ]],costos_var216062[[#This Row],[costo de envío interno en china ]])</f>
        <v>46.406099999999995</v>
      </c>
      <c r="M15" s="25">
        <f>1.4*costos_var216062[[#This Row],[Peso total (libras)]]</f>
        <v>6.16</v>
      </c>
      <c r="N15" s="25">
        <f>costos_var216062[[#This Row],[Peso total (libras)]]*$E$31</f>
        <v>11</v>
      </c>
      <c r="O15" s="25">
        <f>SUM(costos_var216062[[#This Row],[Costo Envío China-USA]],costos_var216062[[#This Row],[Costo Envío  USA-NIC ($)]])</f>
        <v>17.16</v>
      </c>
      <c r="P15" s="25">
        <f>SUM(costos_var216062[[#This Row],[Costo envío Total ($)]], costos_var216062[[#This Row],[Costo Total]], costos_var216062[[#This Row],[comisión sobre transacción ]], costos_var216062[[#This Row],[costo de envío interno en china ]])</f>
        <v>63.566099999999992</v>
      </c>
      <c r="Q15" s="25">
        <f>costos_var216062[[#This Row],[Costo Total Lote ($)]]/costos_var216062[[#This Row],[Cantidad]]</f>
        <v>6.356609999999999</v>
      </c>
      <c r="R15" s="25">
        <v>10.88</v>
      </c>
      <c r="S15" s="25">
        <f>costos_var216062[[#This Row],[Cantidad]]*costos_var216062[[#This Row],[Precio de venta]]</f>
        <v>108.80000000000001</v>
      </c>
      <c r="T15" s="25">
        <f>costos_var216062[[#This Row],[Ingreso total  por producto]]-costos_var216062[[#This Row],[Costo Total Lote ($)]]</f>
        <v>45.23390000000002</v>
      </c>
      <c r="U15" s="12">
        <f>((costos_var216062[[#This Row],[Precio de venta]]-costos_var216062[[#This Row],[Costo Unitario NIC]])/costos_var216062[[#This Row],[Costo Unitario NIC]])</f>
        <v>0.71160414120104942</v>
      </c>
      <c r="V15" s="12">
        <f>((costos_var216062[[#This Row],[Precio de venta]]-costos_var216062[[#This Row],[Costo Unitario NIC]])/costos_var216062[[#This Row],[Precio de venta]])</f>
        <v>0.41575275735294132</v>
      </c>
      <c r="W15" s="35" t="s">
        <v>58</v>
      </c>
    </row>
    <row r="16" spans="2:23" x14ac:dyDescent="0.25">
      <c r="B16" s="31" t="s">
        <v>61</v>
      </c>
      <c r="C16" s="25">
        <v>0</v>
      </c>
      <c r="D16" s="25">
        <f>costos_var216062[[#This Row],[Peso del producto en Kg]]*2.2</f>
        <v>0</v>
      </c>
      <c r="E16" s="25">
        <f>costos_var216062[[#This Row],[Cantidad]]*costos_var216062[[#This Row],[Peso del producto en Kg]]</f>
        <v>0</v>
      </c>
      <c r="F16" s="25">
        <f t="shared" si="0"/>
        <v>0</v>
      </c>
      <c r="G16" s="28">
        <v>0</v>
      </c>
      <c r="H16" s="25">
        <v>0</v>
      </c>
      <c r="I16" s="25">
        <f>costos_var216062[[#This Row],[Cantidad]]*costos_var216062[[#This Row],[Costo Unitario ($)]]</f>
        <v>0</v>
      </c>
      <c r="J16" s="25">
        <f>costos_var216062[[#This Row],[Costo Total]]*0.0295</f>
        <v>0</v>
      </c>
      <c r="K16" s="25">
        <f>costos_var216062[[#This Row],[Costo Total]]*0.03</f>
        <v>0</v>
      </c>
      <c r="L16" s="25">
        <f>SUM(costos_var216062[[#This Row],[Costo Total]],costos_var216062[[#This Row],[comisión sobre transacción ]],costos_var216062[[#This Row],[costo de envío interno en china ]])</f>
        <v>0</v>
      </c>
      <c r="M16" s="25">
        <f>1.4*costos_var216062[[#This Row],[Peso total (libras)]]</f>
        <v>0</v>
      </c>
      <c r="N16" s="25">
        <f>costos_var216062[[#This Row],[Peso total (libras)]]*$E$31</f>
        <v>0</v>
      </c>
      <c r="O16" s="25">
        <f>SUM(costos_var216062[[#This Row],[Costo Envío China-USA]],costos_var216062[[#This Row],[Costo Envío  USA-NIC ($)]])</f>
        <v>0</v>
      </c>
      <c r="P16" s="25">
        <f>SUM(costos_var216062[[#This Row],[Costo envío Total ($)]], costos_var216062[[#This Row],[Costo Total]], costos_var216062[[#This Row],[comisión sobre transacción ]], costos_var216062[[#This Row],[costo de envío interno en china ]])</f>
        <v>0</v>
      </c>
      <c r="Q16" s="25">
        <v>0</v>
      </c>
      <c r="R16" s="25">
        <v>0</v>
      </c>
      <c r="S16" s="25">
        <f>costos_var216062[[#This Row],[Cantidad]]*costos_var216062[[#This Row],[Precio de venta]]</f>
        <v>0</v>
      </c>
      <c r="T16" s="25">
        <f>costos_var216062[[#This Row],[Ingreso total  por producto]]-costos_var216062[[#This Row],[Costo Total Lote ($)]]</f>
        <v>0</v>
      </c>
      <c r="U16" s="12">
        <v>0</v>
      </c>
      <c r="V16" s="12">
        <v>0</v>
      </c>
      <c r="W16" s="9"/>
    </row>
    <row r="17" spans="1:23" x14ac:dyDescent="0.25">
      <c r="B17" s="31" t="s">
        <v>61</v>
      </c>
      <c r="C17" s="25">
        <v>0</v>
      </c>
      <c r="D17" s="25">
        <f>costos_var216062[[#This Row],[Peso del producto en Kg]]*2.2</f>
        <v>0</v>
      </c>
      <c r="E17" s="25">
        <f>costos_var216062[[#This Row],[Cantidad]]*costos_var216062[[#This Row],[Peso del producto en Kg]]</f>
        <v>0</v>
      </c>
      <c r="F17" s="25">
        <f t="shared" si="0"/>
        <v>0</v>
      </c>
      <c r="G17" s="28">
        <v>0</v>
      </c>
      <c r="H17" s="25">
        <v>0</v>
      </c>
      <c r="I17" s="25">
        <f>costos_var216062[[#This Row],[Cantidad]]*costos_var216062[[#This Row],[Costo Unitario ($)]]</f>
        <v>0</v>
      </c>
      <c r="J17" s="25">
        <f>costos_var216062[[#This Row],[Costo Total]]*0.0295</f>
        <v>0</v>
      </c>
      <c r="K17" s="25">
        <f>costos_var216062[[#This Row],[Costo Total]]*0.03</f>
        <v>0</v>
      </c>
      <c r="L17" s="25">
        <f>SUM(costos_var216062[[#This Row],[Costo Total]],costos_var216062[[#This Row],[comisión sobre transacción ]],costos_var216062[[#This Row],[costo de envío interno en china ]])</f>
        <v>0</v>
      </c>
      <c r="M17" s="25">
        <f>1.4*costos_var216062[[#This Row],[Peso total (libras)]]</f>
        <v>0</v>
      </c>
      <c r="N17" s="25">
        <f>costos_var216062[[#This Row],[Peso total (libras)]]*$E$31</f>
        <v>0</v>
      </c>
      <c r="O17" s="25">
        <f>SUM(costos_var216062[[#This Row],[Costo Envío China-USA]],costos_var216062[[#This Row],[Costo Envío  USA-NIC ($)]])</f>
        <v>0</v>
      </c>
      <c r="P17" s="25">
        <f>SUM(costos_var216062[[#This Row],[Costo envío Total ($)]], costos_var216062[[#This Row],[Costo Total]], costos_var216062[[#This Row],[comisión sobre transacción ]], costos_var216062[[#This Row],[costo de envío interno en china ]])</f>
        <v>0</v>
      </c>
      <c r="Q17" s="25">
        <v>0</v>
      </c>
      <c r="R17" s="25">
        <v>0</v>
      </c>
      <c r="S17" s="25">
        <f>costos_var216062[[#This Row],[Cantidad]]*costos_var216062[[#This Row],[Precio de venta]]</f>
        <v>0</v>
      </c>
      <c r="T17" s="25">
        <f>costos_var216062[[#This Row],[Ingreso total  por producto]]-costos_var216062[[#This Row],[Costo Total Lote ($)]]</f>
        <v>0</v>
      </c>
      <c r="U17" s="12">
        <v>0</v>
      </c>
      <c r="V17" s="12">
        <v>0</v>
      </c>
      <c r="W17" s="36"/>
    </row>
    <row r="18" spans="1:23" x14ac:dyDescent="0.25">
      <c r="B18" s="33" t="s">
        <v>51</v>
      </c>
      <c r="C18" s="27">
        <f>SUM(C9:C17)</f>
        <v>1.7499999999999998</v>
      </c>
      <c r="D18" s="27">
        <f>SUM(D9:D17)</f>
        <v>3.8499999999999996</v>
      </c>
      <c r="E18" s="27">
        <v>35</v>
      </c>
      <c r="F18" s="27">
        <f>SUM(F9:F17)</f>
        <v>114.18</v>
      </c>
      <c r="G18" s="29">
        <f>SUM(G9:G17)</f>
        <v>182</v>
      </c>
      <c r="H18" s="27">
        <f>SUM(H9:H17)</f>
        <v>17.72</v>
      </c>
      <c r="I18" s="27">
        <f>SUM(I9:I17)</f>
        <v>503.2</v>
      </c>
      <c r="J18" s="27">
        <f>costos_var216062[[#This Row],[Costo Total]]*0.0295</f>
        <v>14.844399999999998</v>
      </c>
      <c r="K18" s="27">
        <f>costos_var216062[[#This Row],[Costo Total]]*0.03</f>
        <v>15.095999999999998</v>
      </c>
      <c r="L18" s="27">
        <f>SUM(costos_var216062[[#This Row],[Costo Total]],costos_var216062[[#This Row],[comisión sobre transacción ]],costos_var216062[[#This Row],[costo de envío interno en china ]])</f>
        <v>533.1404</v>
      </c>
      <c r="M18" s="27">
        <f t="shared" ref="M18:T18" si="1">SUM(M9:M17)</f>
        <v>159.85199999999998</v>
      </c>
      <c r="N18" s="27">
        <f t="shared" si="1"/>
        <v>285.45</v>
      </c>
      <c r="O18" s="27">
        <f t="shared" si="1"/>
        <v>445.30200000000002</v>
      </c>
      <c r="P18" s="27">
        <f t="shared" si="1"/>
        <v>978.44240000000002</v>
      </c>
      <c r="Q18" s="27">
        <f t="shared" si="1"/>
        <v>33.789340000000003</v>
      </c>
      <c r="R18" s="27">
        <f t="shared" si="1"/>
        <v>58.230000000000004</v>
      </c>
      <c r="S18" s="27">
        <f t="shared" si="1"/>
        <v>1600.8</v>
      </c>
      <c r="T18" s="27">
        <f t="shared" si="1"/>
        <v>622.35760000000005</v>
      </c>
      <c r="U18" s="22"/>
      <c r="V18" s="22"/>
      <c r="W18" s="9"/>
    </row>
    <row r="19" spans="1:23" x14ac:dyDescent="0.25">
      <c r="B19" s="31"/>
      <c r="C19" s="25"/>
      <c r="D19" s="25"/>
      <c r="E19" s="25"/>
      <c r="F19" s="25"/>
      <c r="G19" s="28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9"/>
      <c r="U19" s="9"/>
      <c r="V19" s="9"/>
      <c r="W19" s="9"/>
    </row>
    <row r="20" spans="1:23" x14ac:dyDescent="0.25">
      <c r="B20" s="31"/>
      <c r="C20" s="25"/>
      <c r="D20" s="25"/>
      <c r="E20" s="25"/>
      <c r="F20" s="25"/>
      <c r="G20" s="28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9"/>
      <c r="U20" s="9"/>
      <c r="V20" s="9"/>
      <c r="W20" s="9"/>
    </row>
    <row r="21" spans="1:23" x14ac:dyDescent="0.25">
      <c r="B21" s="31"/>
      <c r="C21" s="25"/>
      <c r="D21" s="25"/>
      <c r="E21" s="25"/>
      <c r="F21" s="25"/>
      <c r="G21" s="28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9"/>
      <c r="U21" s="9"/>
      <c r="V21" s="9"/>
      <c r="W21" s="9"/>
    </row>
    <row r="29" spans="1:23" x14ac:dyDescent="0.25">
      <c r="A29" s="17" t="s">
        <v>17</v>
      </c>
      <c r="B29" s="17" t="s">
        <v>26</v>
      </c>
      <c r="D29" s="15"/>
      <c r="E29" s="16"/>
    </row>
    <row r="30" spans="1:23" ht="45" x14ac:dyDescent="0.25">
      <c r="A30" s="18" t="s">
        <v>27</v>
      </c>
      <c r="B30" s="19">
        <f>R18</f>
        <v>58.230000000000004</v>
      </c>
      <c r="D30" s="7" t="s">
        <v>24</v>
      </c>
      <c r="E30" s="7" t="s">
        <v>5</v>
      </c>
    </row>
    <row r="31" spans="1:23" ht="45" x14ac:dyDescent="0.25">
      <c r="A31" s="1"/>
      <c r="B31" s="1"/>
      <c r="D31" s="5" t="s">
        <v>25</v>
      </c>
      <c r="E31" s="5">
        <v>2.5</v>
      </c>
      <c r="H31" s="17"/>
      <c r="I31" s="17"/>
      <c r="J31" s="17"/>
    </row>
    <row r="32" spans="1:23" ht="45" x14ac:dyDescent="0.25">
      <c r="A32" s="18" t="s">
        <v>28</v>
      </c>
      <c r="B32" s="1"/>
      <c r="D32" s="5" t="s">
        <v>6</v>
      </c>
      <c r="E32" s="5" t="s">
        <v>19</v>
      </c>
      <c r="H32" s="18"/>
      <c r="I32" s="18"/>
      <c r="J32" s="1"/>
    </row>
    <row r="33" spans="1:10" ht="45" x14ac:dyDescent="0.25">
      <c r="A33" s="1" t="s">
        <v>29</v>
      </c>
      <c r="B33" s="30">
        <f>SUM(K8:K15)</f>
        <v>15.096000000000002</v>
      </c>
      <c r="C33" s="5"/>
      <c r="D33" s="15"/>
      <c r="E33" s="16"/>
      <c r="H33" s="18"/>
      <c r="I33" s="18"/>
      <c r="J33" s="1"/>
    </row>
    <row r="34" spans="1:10" ht="45" x14ac:dyDescent="0.25">
      <c r="A34" s="1" t="s">
        <v>30</v>
      </c>
      <c r="B34" s="3">
        <f>SUM(N8:N15)</f>
        <v>285.45</v>
      </c>
      <c r="C34" s="5"/>
      <c r="D34" s="13"/>
      <c r="E34" s="14"/>
      <c r="H34" s="18"/>
      <c r="I34" s="18"/>
      <c r="J34" s="1"/>
    </row>
    <row r="35" spans="1:10" ht="45" x14ac:dyDescent="0.25">
      <c r="A35" s="1" t="s">
        <v>31</v>
      </c>
      <c r="B35" s="3">
        <f>SUM(O17:O20)</f>
        <v>445.30200000000002</v>
      </c>
      <c r="C35" s="14"/>
      <c r="D35" s="14"/>
      <c r="E35" s="14"/>
      <c r="H35" s="18"/>
      <c r="I35" s="18"/>
      <c r="J35" s="18"/>
    </row>
    <row r="36" spans="1:10" ht="45" x14ac:dyDescent="0.25">
      <c r="A36" s="18" t="s">
        <v>32</v>
      </c>
      <c r="B36" s="20">
        <f>SUM(B33:B35)</f>
        <v>745.84799999999996</v>
      </c>
      <c r="C36" s="14"/>
      <c r="D36" s="14"/>
      <c r="E36" s="14"/>
    </row>
    <row r="37" spans="1:10" x14ac:dyDescent="0.25">
      <c r="A37" s="1"/>
      <c r="B37" s="1"/>
      <c r="C37" s="16"/>
      <c r="D37" s="16"/>
      <c r="E37" s="16"/>
    </row>
    <row r="38" spans="1:10" ht="30" x14ac:dyDescent="0.25">
      <c r="A38" s="18" t="s">
        <v>33</v>
      </c>
      <c r="B38" s="2">
        <f>B30-B33-B34</f>
        <v>-242.31599999999997</v>
      </c>
    </row>
    <row r="39" spans="1:10" ht="30" x14ac:dyDescent="0.25">
      <c r="A39" s="18" t="s">
        <v>34</v>
      </c>
      <c r="B39" s="2">
        <f>B38-B35</f>
        <v>-687.61799999999994</v>
      </c>
    </row>
    <row r="40" spans="1:10" x14ac:dyDescent="0.25">
      <c r="A40" s="1"/>
      <c r="B40" s="1"/>
    </row>
    <row r="41" spans="1:10" x14ac:dyDescent="0.25">
      <c r="A41" s="18" t="s">
        <v>35</v>
      </c>
      <c r="B41" s="1"/>
    </row>
    <row r="42" spans="1:10" ht="60" x14ac:dyDescent="0.25">
      <c r="A42" s="1" t="s">
        <v>36</v>
      </c>
      <c r="B42" s="21">
        <f>B38/B30</f>
        <v>-4.1613601236476034</v>
      </c>
      <c r="C42" s="5"/>
    </row>
    <row r="43" spans="1:10" ht="60" x14ac:dyDescent="0.25">
      <c r="A43" s="1" t="s">
        <v>37</v>
      </c>
      <c r="B43" s="21">
        <f>B39/B30</f>
        <v>-11.808655332302935</v>
      </c>
    </row>
    <row r="44" spans="1:10" ht="60" x14ac:dyDescent="0.25">
      <c r="A44" s="1" t="s">
        <v>38</v>
      </c>
      <c r="B44" s="21">
        <f>B39/B36</f>
        <v>-0.92192779225793997</v>
      </c>
    </row>
  </sheetData>
  <mergeCells count="1">
    <mergeCell ref="B7:C7"/>
  </mergeCells>
  <hyperlinks>
    <hyperlink ref="W13" r:id="rId1" xr:uid="{85C4F794-DE46-448D-B6A8-C51C1F5C7AE7}"/>
    <hyperlink ref="W14" r:id="rId2" xr:uid="{2F5BA30A-926A-4DFF-8049-14217888B570}"/>
    <hyperlink ref="W9" r:id="rId3" xr:uid="{E323E750-EB83-4D65-97EB-8C62440ADA9E}"/>
    <hyperlink ref="W11" r:id="rId4" xr:uid="{2ACCA2A8-D22C-4BA9-AC4D-08793FCC1C9D}"/>
    <hyperlink ref="W12" r:id="rId5" xr:uid="{035C557E-80BC-4012-8342-D84DFE58A629}"/>
    <hyperlink ref="W10" r:id="rId6" xr:uid="{2F9FF55D-5E95-4606-8FF9-4E18A870165F}"/>
    <hyperlink ref="W15" r:id="rId7" xr:uid="{277FBB5B-3B26-40D2-9BE8-1BC2C90925D9}"/>
  </hyperlinks>
  <pageMargins left="0.7" right="0.7" top="0.75" bottom="0.75" header="0.3" footer="0.3"/>
  <drawing r:id="rId8"/>
  <tableParts count="3">
    <tablePart r:id="rId9"/>
    <tablePart r:id="rId10"/>
    <tablePart r:id="rId1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D1F31-BF67-4E21-A5C7-7E57C0044CE6}">
  <dimension ref="A1:W60"/>
  <sheetViews>
    <sheetView topLeftCell="H4" workbookViewId="0">
      <selection activeCell="V16" sqref="V16"/>
    </sheetView>
  </sheetViews>
  <sheetFormatPr baseColWidth="10" defaultRowHeight="15" x14ac:dyDescent="0.25"/>
  <cols>
    <col min="1" max="1" width="33.28515625" customWidth="1"/>
  </cols>
  <sheetData>
    <row r="1" spans="1:23" ht="22.5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5"/>
    </row>
    <row r="2" spans="1:23" ht="22.5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5"/>
    </row>
    <row r="3" spans="1:23" ht="22.5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5"/>
    </row>
    <row r="4" spans="1:23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23" ht="45" x14ac:dyDescent="0.25">
      <c r="A5" s="5"/>
      <c r="B5" s="5"/>
      <c r="C5" s="5"/>
      <c r="D5" s="5"/>
      <c r="E5" s="5"/>
      <c r="F5" s="6" t="s">
        <v>4</v>
      </c>
      <c r="G5" s="6">
        <v>36.619999999999997</v>
      </c>
      <c r="H5" s="5"/>
      <c r="I5" s="5"/>
      <c r="J5" s="5"/>
      <c r="K5" s="5"/>
    </row>
    <row r="6" spans="1:23" ht="18.75" x14ac:dyDescent="0.25">
      <c r="A6" s="38" t="s">
        <v>9</v>
      </c>
      <c r="B6" s="38"/>
      <c r="C6" s="9"/>
      <c r="D6" s="9"/>
      <c r="E6" s="9"/>
      <c r="F6" s="9"/>
      <c r="G6" s="9"/>
      <c r="H6" s="9"/>
      <c r="I6" s="9"/>
      <c r="J6" s="5"/>
      <c r="K6" s="5"/>
    </row>
    <row r="7" spans="1:23" ht="60" x14ac:dyDescent="0.25">
      <c r="A7" s="23" t="s">
        <v>1</v>
      </c>
      <c r="B7" s="23" t="s">
        <v>16</v>
      </c>
      <c r="C7" s="23" t="s">
        <v>2</v>
      </c>
      <c r="D7" s="23" t="s">
        <v>15</v>
      </c>
      <c r="E7" s="23" t="s">
        <v>3</v>
      </c>
      <c r="F7" s="23" t="s">
        <v>0</v>
      </c>
      <c r="G7" s="23" t="s">
        <v>12</v>
      </c>
      <c r="H7" s="23" t="s">
        <v>8</v>
      </c>
      <c r="I7" s="23" t="s">
        <v>40</v>
      </c>
      <c r="J7" s="23" t="s">
        <v>41</v>
      </c>
      <c r="K7" s="23" t="s">
        <v>42</v>
      </c>
      <c r="L7" s="23" t="s">
        <v>10</v>
      </c>
      <c r="M7" s="23" t="s">
        <v>39</v>
      </c>
      <c r="N7" s="23" t="s">
        <v>14</v>
      </c>
      <c r="O7" s="23" t="s">
        <v>11</v>
      </c>
      <c r="P7" s="23" t="s">
        <v>13</v>
      </c>
      <c r="Q7" s="24" t="s">
        <v>18</v>
      </c>
      <c r="R7" s="24" t="s">
        <v>20</v>
      </c>
      <c r="S7" s="23" t="s">
        <v>21</v>
      </c>
      <c r="T7" s="23" t="s">
        <v>22</v>
      </c>
      <c r="U7" s="23" t="s">
        <v>23</v>
      </c>
      <c r="V7" s="23" t="s">
        <v>49</v>
      </c>
      <c r="W7" s="23" t="s">
        <v>64</v>
      </c>
    </row>
    <row r="8" spans="1:23" x14ac:dyDescent="0.25">
      <c r="A8" s="37" t="s">
        <v>66</v>
      </c>
      <c r="B8" s="25">
        <v>0.2</v>
      </c>
      <c r="C8" s="25">
        <f>costos_var2160619[[#This Row],[Peso del producto en Kg]]*2.2</f>
        <v>0.44000000000000006</v>
      </c>
      <c r="D8" s="25">
        <f>costos_var2160619[[#This Row],[Cantidad]]*costos_var2160619[[#This Row],[Peso del producto en Kg]]</f>
        <v>10</v>
      </c>
      <c r="E8" s="25">
        <f>costos_var2160619[[#This Row],[Peso total en Kg]]*2.2</f>
        <v>22</v>
      </c>
      <c r="F8" s="28">
        <v>50</v>
      </c>
      <c r="G8" s="25">
        <v>1.86</v>
      </c>
      <c r="H8" s="25">
        <f>costos_var2160619[[#This Row],[Cantidad]]*costos_var2160619[[#This Row],[Costo Unitario ($)]]</f>
        <v>93</v>
      </c>
      <c r="I8" s="25">
        <f>costos_var2160619[[#This Row],[Costo Total]]*0.05</f>
        <v>4.6500000000000004</v>
      </c>
      <c r="J8" s="25">
        <f>costos_var2160619[[#This Row],[Costo Total]]*0.05</f>
        <v>4.6500000000000004</v>
      </c>
      <c r="K8" s="25">
        <f>SUM(costos_var2160619[[#This Row],[Costo Total]],costos_var2160619[[#This Row],[comisión sobre transacción ]],costos_var2160619[[#This Row],[costo de envío interno en china ]])</f>
        <v>102.30000000000001</v>
      </c>
      <c r="L8" s="25">
        <f>1.4*costos_var2160619[[#This Row],[Peso total (libras)]]</f>
        <v>30.799999999999997</v>
      </c>
      <c r="M8" s="25">
        <f>costos_var2160619[[#This Row],[Peso total (libras)]]*$E$29</f>
        <v>55</v>
      </c>
      <c r="N8" s="25">
        <f>SUM(costos_var2160619[[#This Row],[Costo Envío China-USA]],costos_var2160619[[#This Row],[Costo Envío  USA-NIC ($)]])</f>
        <v>85.8</v>
      </c>
      <c r="O8" s="25">
        <f>SUM(costos_var2160619[[#This Row],[Costo envío Total ($)]], costos_var2160619[[#This Row],[Costo Total]], costos_var2160619[[#This Row],[comisión sobre transacción ]], costos_var2160619[[#This Row],[costo de envío interno en china ]])</f>
        <v>188.10000000000002</v>
      </c>
      <c r="P8" s="25">
        <f>costos_var2160619[[#This Row],[Costo Total Lote ($)]]/costos_var2160619[[#This Row],[Cantidad]]</f>
        <v>3.7620000000000005</v>
      </c>
      <c r="Q8" s="25">
        <v>8.15</v>
      </c>
      <c r="R8" s="25">
        <f>costos_var2160619[[#This Row],[Cantidad]]*costos_var2160619[[#This Row],[Precio de venta]]</f>
        <v>407.5</v>
      </c>
      <c r="S8" s="25">
        <f>costos_var2160619[[#This Row],[Ingreso total  por producto]]-costos_var2160619[[#This Row],[Costo Total Lote ($)]]</f>
        <v>219.39999999999998</v>
      </c>
      <c r="T8" s="12">
        <f>((costos_var2160619[[#This Row],[Precio de venta]]-costos_var2160619[[#This Row],[Costo Unitario NIC]])/costos_var2160619[[#This Row],[Costo Unitario NIC]])</f>
        <v>1.1664008506113768</v>
      </c>
      <c r="U8" s="12">
        <f>((costos_var2160619[[#This Row],[Precio de venta]]-costos_var2160619[[#This Row],[Costo Unitario NIC]])/costos_var2160619[[#This Row],[Precio de venta]])</f>
        <v>0.53840490797546003</v>
      </c>
      <c r="V8" s="35" t="s">
        <v>65</v>
      </c>
      <c r="W8" s="9">
        <v>1688</v>
      </c>
    </row>
    <row r="9" spans="1:23" x14ac:dyDescent="0.25">
      <c r="A9" s="37" t="s">
        <v>84</v>
      </c>
      <c r="B9" s="25">
        <v>0.5</v>
      </c>
      <c r="C9" s="25">
        <f>costos_var2160619[[#This Row],[Peso del producto en Kg]]*2.2</f>
        <v>1.1000000000000001</v>
      </c>
      <c r="D9" s="25">
        <f>costos_var2160619[[#This Row],[Cantidad]]*costos_var2160619[[#This Row],[Peso del producto en Kg]]</f>
        <v>13</v>
      </c>
      <c r="E9" s="25">
        <f>costos_var2160619[[#This Row],[Peso total en Kg]]*2.2</f>
        <v>28.6</v>
      </c>
      <c r="F9" s="28">
        <v>26</v>
      </c>
      <c r="G9" s="25">
        <v>4.67</v>
      </c>
      <c r="H9" s="25">
        <f>costos_var2160619[[#This Row],[Cantidad]]*costos_var2160619[[#This Row],[Costo Unitario ($)]]</f>
        <v>121.42</v>
      </c>
      <c r="I9" s="25">
        <f>costos_var2160619[[#This Row],[Costo Total]]*0.05</f>
        <v>6.0710000000000006</v>
      </c>
      <c r="J9" s="25">
        <f>costos_var2160619[[#This Row],[Costo Total]]*0.05</f>
        <v>6.0710000000000006</v>
      </c>
      <c r="K9" s="25">
        <f>SUM(costos_var2160619[[#This Row],[Costo Total]],costos_var2160619[[#This Row],[comisión sobre transacción ]],costos_var2160619[[#This Row],[costo de envío interno en china ]])</f>
        <v>133.56200000000001</v>
      </c>
      <c r="L9" s="25">
        <f>1.4*costos_var2160619[[#This Row],[Peso total (libras)]]</f>
        <v>40.04</v>
      </c>
      <c r="M9" s="25">
        <f>costos_var2160619[[#This Row],[Peso total (libras)]]*$E$29</f>
        <v>71.5</v>
      </c>
      <c r="N9" s="25">
        <f>SUM(costos_var2160619[[#This Row],[Costo Envío China-USA]],costos_var2160619[[#This Row],[Costo Envío  USA-NIC ($)]])</f>
        <v>111.53999999999999</v>
      </c>
      <c r="O9" s="25">
        <f>SUM(costos_var2160619[[#This Row],[Costo envío Total ($)]], costos_var2160619[[#This Row],[Costo Total]], costos_var2160619[[#This Row],[comisión sobre transacción ]], costos_var2160619[[#This Row],[costo de envío interno en china ]])</f>
        <v>245.10199999999998</v>
      </c>
      <c r="P9" s="25">
        <f>costos_var2160619[[#This Row],[Costo Total Lote ($)]]/costos_var2160619[[#This Row],[Cantidad]]</f>
        <v>9.4269999999999996</v>
      </c>
      <c r="Q9" s="25">
        <v>15</v>
      </c>
      <c r="R9" s="25">
        <f>costos_var2160619[[#This Row],[Cantidad]]*costos_var2160619[[#This Row],[Precio de venta]]</f>
        <v>390</v>
      </c>
      <c r="S9" s="25">
        <f>costos_var2160619[[#This Row],[Ingreso total  por producto]]-costos_var2160619[[#This Row],[Costo Total Lote ($)]]</f>
        <v>144.89800000000002</v>
      </c>
      <c r="T9" s="12">
        <f>((costos_var2160619[[#This Row],[Precio de venta]]-costos_var2160619[[#This Row],[Costo Unitario NIC]])/costos_var2160619[[#This Row],[Costo Unitario NIC]])</f>
        <v>0.59117428662352822</v>
      </c>
      <c r="U9" s="12">
        <f>((costos_var2160619[[#This Row],[Precio de venta]]-costos_var2160619[[#This Row],[Costo Unitario NIC]])/costos_var2160619[[#This Row],[Precio de venta]])</f>
        <v>0.37153333333333338</v>
      </c>
      <c r="V9" s="35" t="s">
        <v>65</v>
      </c>
      <c r="W9" s="9">
        <v>1688</v>
      </c>
    </row>
    <row r="10" spans="1:23" x14ac:dyDescent="0.25">
      <c r="A10" s="37" t="s">
        <v>85</v>
      </c>
      <c r="B10" s="25">
        <v>0.3</v>
      </c>
      <c r="C10" s="25">
        <f>costos_var2160619[[#This Row],[Peso del producto en Kg]]*2.2</f>
        <v>0.66</v>
      </c>
      <c r="D10" s="25">
        <f>costos_var2160619[[#This Row],[Cantidad]]*costos_var2160619[[#This Row],[Peso del producto en Kg]]</f>
        <v>6</v>
      </c>
      <c r="E10" s="25">
        <f>costos_var2160619[[#This Row],[Peso total en Kg]]*2.2</f>
        <v>13.200000000000001</v>
      </c>
      <c r="F10" s="28">
        <v>20</v>
      </c>
      <c r="G10" s="25">
        <v>4.6399999999999997</v>
      </c>
      <c r="H10" s="25">
        <f>costos_var2160619[[#This Row],[Cantidad]]*costos_var2160619[[#This Row],[Costo Unitario ($)]]</f>
        <v>92.8</v>
      </c>
      <c r="I10" s="25">
        <f>costos_var2160619[[#This Row],[Costo Total]]*0.05</f>
        <v>4.6399999999999997</v>
      </c>
      <c r="J10" s="25">
        <f>costos_var2160619[[#This Row],[Costo Total]]*0.05</f>
        <v>4.6399999999999997</v>
      </c>
      <c r="K10" s="25">
        <f>SUM(costos_var2160619[[#This Row],[Costo Total]],costos_var2160619[[#This Row],[comisión sobre transacción ]],costos_var2160619[[#This Row],[costo de envío interno en china ]])</f>
        <v>102.08</v>
      </c>
      <c r="L10" s="25">
        <f>1.4*costos_var2160619[[#This Row],[Peso total (libras)]]</f>
        <v>18.48</v>
      </c>
      <c r="M10" s="25">
        <f>costos_var2160619[[#This Row],[Peso total (libras)]]*$E$29</f>
        <v>33</v>
      </c>
      <c r="N10" s="25">
        <f>SUM(costos_var2160619[[#This Row],[Costo Envío China-USA]],costos_var2160619[[#This Row],[Costo Envío  USA-NIC ($)]])</f>
        <v>51.480000000000004</v>
      </c>
      <c r="O10" s="25">
        <f>SUM(costos_var2160619[[#This Row],[Costo envío Total ($)]], costos_var2160619[[#This Row],[Costo Total]], costos_var2160619[[#This Row],[comisión sobre transacción ]], costos_var2160619[[#This Row],[costo de envío interno en china ]])</f>
        <v>153.55999999999997</v>
      </c>
      <c r="P10" s="25">
        <f>costos_var2160619[[#This Row],[Costo Total Lote ($)]]/costos_var2160619[[#This Row],[Cantidad]]</f>
        <v>7.677999999999999</v>
      </c>
      <c r="Q10" s="25">
        <v>13</v>
      </c>
      <c r="R10" s="25">
        <f>costos_var2160619[[#This Row],[Cantidad]]*costos_var2160619[[#This Row],[Precio de venta]]</f>
        <v>260</v>
      </c>
      <c r="S10" s="25">
        <f>costos_var2160619[[#This Row],[Ingreso total  por producto]]-costos_var2160619[[#This Row],[Costo Total Lote ($)]]</f>
        <v>106.44000000000003</v>
      </c>
      <c r="T10" s="12">
        <f>((costos_var2160619[[#This Row],[Precio de venta]]-costos_var2160619[[#This Row],[Costo Unitario NIC]])/costos_var2160619[[#This Row],[Costo Unitario NIC]])</f>
        <v>0.6931492576191719</v>
      </c>
      <c r="U10" s="12">
        <f>((costos_var2160619[[#This Row],[Precio de venta]]-costos_var2160619[[#This Row],[Costo Unitario NIC]])/costos_var2160619[[#This Row],[Precio de venta]])</f>
        <v>0.40938461538461546</v>
      </c>
      <c r="V10" s="35" t="s">
        <v>65</v>
      </c>
      <c r="W10" s="9">
        <v>1688</v>
      </c>
    </row>
    <row r="11" spans="1:23" x14ac:dyDescent="0.25">
      <c r="A11" s="37" t="s">
        <v>86</v>
      </c>
      <c r="B11" s="25">
        <v>0.2</v>
      </c>
      <c r="C11" s="25">
        <f>costos_var2160619[[#This Row],[Peso del producto en Kg]]*2.2</f>
        <v>0.44000000000000006</v>
      </c>
      <c r="D11" s="25">
        <f>costos_var2160619[[#This Row],[Cantidad]]*costos_var2160619[[#This Row],[Peso del producto en Kg]]</f>
        <v>4</v>
      </c>
      <c r="E11" s="25">
        <f>costos_var2160619[[#This Row],[Peso total en Kg]]*2.2</f>
        <v>8.8000000000000007</v>
      </c>
      <c r="F11" s="28">
        <v>20</v>
      </c>
      <c r="G11" s="25">
        <v>1.57</v>
      </c>
      <c r="H11" s="25">
        <f>costos_var2160619[[#This Row],[Cantidad]]*costos_var2160619[[#This Row],[Costo Unitario ($)]]</f>
        <v>31.400000000000002</v>
      </c>
      <c r="I11" s="25">
        <f>costos_var2160619[[#This Row],[Costo Total]]*0.05</f>
        <v>1.5700000000000003</v>
      </c>
      <c r="J11" s="25">
        <f>costos_var2160619[[#This Row],[Costo Total]]*0.05</f>
        <v>1.5700000000000003</v>
      </c>
      <c r="K11" s="25">
        <f>SUM(costos_var2160619[[#This Row],[Costo Total]],costos_var2160619[[#This Row],[comisión sobre transacción ]],costos_var2160619[[#This Row],[costo de envío interno en china ]])</f>
        <v>34.54</v>
      </c>
      <c r="L11" s="25">
        <f>1.4*costos_var2160619[[#This Row],[Peso total (libras)]]</f>
        <v>12.32</v>
      </c>
      <c r="M11" s="25">
        <f>costos_var2160619[[#This Row],[Peso total (libras)]]*$E$29</f>
        <v>22</v>
      </c>
      <c r="N11" s="25">
        <f>SUM(costos_var2160619[[#This Row],[Costo Envío China-USA]],costos_var2160619[[#This Row],[Costo Envío  USA-NIC ($)]])</f>
        <v>34.32</v>
      </c>
      <c r="O11" s="25">
        <f>SUM(costos_var2160619[[#This Row],[Costo envío Total ($)]], costos_var2160619[[#This Row],[Costo Total]], costos_var2160619[[#This Row],[comisión sobre transacción ]], costos_var2160619[[#This Row],[costo de envío interno en china ]])</f>
        <v>68.859999999999985</v>
      </c>
      <c r="P11" s="25">
        <f>costos_var2160619[[#This Row],[Costo Total Lote ($)]]/costos_var2160619[[#This Row],[Cantidad]]</f>
        <v>3.4429999999999992</v>
      </c>
      <c r="Q11" s="25">
        <v>8.15</v>
      </c>
      <c r="R11" s="25">
        <f>costos_var2160619[[#This Row],[Cantidad]]*costos_var2160619[[#This Row],[Precio de venta]]</f>
        <v>163</v>
      </c>
      <c r="S11" s="25">
        <f>costos_var2160619[[#This Row],[Ingreso total  por producto]]-costos_var2160619[[#This Row],[Costo Total Lote ($)]]</f>
        <v>94.140000000000015</v>
      </c>
      <c r="T11" s="12">
        <f>((costos_var2160619[[#This Row],[Precio de venta]]-costos_var2160619[[#This Row],[Costo Unitario NIC]])/costos_var2160619[[#This Row],[Costo Unitario NIC]])</f>
        <v>1.3671216961951791</v>
      </c>
      <c r="U11" s="12">
        <f>((costos_var2160619[[#This Row],[Precio de venta]]-costos_var2160619[[#This Row],[Costo Unitario NIC]])/costos_var2160619[[#This Row],[Precio de venta]])</f>
        <v>0.57754601226993874</v>
      </c>
      <c r="V11" s="35"/>
      <c r="W11" s="9">
        <v>1688</v>
      </c>
    </row>
    <row r="12" spans="1:23" x14ac:dyDescent="0.25">
      <c r="A12" s="37" t="s">
        <v>69</v>
      </c>
      <c r="B12" s="25">
        <v>0.2</v>
      </c>
      <c r="C12" s="25">
        <f>costos_var2160619[[#This Row],[Peso del producto en Kg]]*2.2</f>
        <v>0.44000000000000006</v>
      </c>
      <c r="D12" s="25">
        <f>costos_var2160619[[#This Row],[Cantidad]]*costos_var2160619[[#This Row],[Peso del producto en Kg]]</f>
        <v>3.2</v>
      </c>
      <c r="E12" s="25">
        <f>costos_var2160619[[#This Row],[Peso total en Kg]]*2.2</f>
        <v>7.0400000000000009</v>
      </c>
      <c r="F12" s="28">
        <v>16</v>
      </c>
      <c r="G12" s="25">
        <v>3.77</v>
      </c>
      <c r="H12" s="25">
        <f>costos_var2160619[[#This Row],[Cantidad]]*costos_var2160619[[#This Row],[Costo Unitario ($)]]</f>
        <v>60.32</v>
      </c>
      <c r="I12" s="25">
        <f>costos_var2160619[[#This Row],[Costo Total]]*0.05</f>
        <v>3.016</v>
      </c>
      <c r="J12" s="25">
        <f>costos_var2160619[[#This Row],[Costo Total]]*0.05</f>
        <v>3.016</v>
      </c>
      <c r="K12" s="25">
        <f>SUM(costos_var2160619[[#This Row],[Costo Total]],costos_var2160619[[#This Row],[comisión sobre transacción ]],costos_var2160619[[#This Row],[costo de envío interno en china ]])</f>
        <v>66.352000000000004</v>
      </c>
      <c r="L12" s="25">
        <f>1.4*costos_var2160619[[#This Row],[Peso total (libras)]]</f>
        <v>9.8559999999999999</v>
      </c>
      <c r="M12" s="25">
        <f>costos_var2160619[[#This Row],[Peso total (libras)]]*$E$29</f>
        <v>17.600000000000001</v>
      </c>
      <c r="N12" s="25">
        <f>SUM(costos_var2160619[[#This Row],[Costo Envío China-USA]],costos_var2160619[[#This Row],[Costo Envío  USA-NIC ($)]])</f>
        <v>27.456000000000003</v>
      </c>
      <c r="O12" s="25">
        <f>SUM(costos_var2160619[[#This Row],[Costo envío Total ($)]], costos_var2160619[[#This Row],[Costo Total]], costos_var2160619[[#This Row],[comisión sobre transacción ]], costos_var2160619[[#This Row],[costo de envío interno en china ]])</f>
        <v>93.808000000000021</v>
      </c>
      <c r="P12" s="25">
        <f>costos_var2160619[[#This Row],[Costo Total Lote ($)]]/costos_var2160619[[#This Row],[Cantidad]]</f>
        <v>5.8630000000000013</v>
      </c>
      <c r="Q12" s="25">
        <v>10</v>
      </c>
      <c r="R12" s="25">
        <f>costos_var2160619[[#This Row],[Cantidad]]*costos_var2160619[[#This Row],[Precio de venta]]</f>
        <v>160</v>
      </c>
      <c r="S12" s="25">
        <f>costos_var2160619[[#This Row],[Ingreso total  por producto]]-costos_var2160619[[#This Row],[Costo Total Lote ($)]]</f>
        <v>66.191999999999979</v>
      </c>
      <c r="T12" s="12">
        <f>((costos_var2160619[[#This Row],[Precio de venta]]-costos_var2160619[[#This Row],[Costo Unitario NIC]])/costos_var2160619[[#This Row],[Costo Unitario NIC]])</f>
        <v>0.70561146170902234</v>
      </c>
      <c r="U12" s="12">
        <f>((costos_var2160619[[#This Row],[Precio de venta]]-costos_var2160619[[#This Row],[Costo Unitario NIC]])/costos_var2160619[[#This Row],[Precio de venta]])</f>
        <v>0.41369999999999985</v>
      </c>
      <c r="V12" s="35" t="s">
        <v>50</v>
      </c>
      <c r="W12" s="9">
        <v>1688</v>
      </c>
    </row>
    <row r="13" spans="1:23" x14ac:dyDescent="0.25">
      <c r="A13" s="37" t="s">
        <v>67</v>
      </c>
      <c r="B13" s="25">
        <v>0.3</v>
      </c>
      <c r="C13" s="25">
        <f>costos_var2160619[[#This Row],[Peso del producto en Kg]]*2.2</f>
        <v>0.66</v>
      </c>
      <c r="D13" s="25">
        <f>costos_var2160619[[#This Row],[Cantidad]]*costos_var2160619[[#This Row],[Peso del producto en Kg]]</f>
        <v>9</v>
      </c>
      <c r="E13" s="25">
        <f>costos_var2160619[[#This Row],[Peso total en Kg]]*2.2</f>
        <v>19.8</v>
      </c>
      <c r="F13" s="28">
        <v>30</v>
      </c>
      <c r="G13" s="25">
        <v>3.01</v>
      </c>
      <c r="H13" s="25">
        <f>costos_var2160619[[#This Row],[Cantidad]]*costos_var2160619[[#This Row],[Costo Unitario ($)]]</f>
        <v>90.3</v>
      </c>
      <c r="I13" s="25">
        <f>costos_var2160619[[#This Row],[Costo Total]]*0.05</f>
        <v>4.5149999999999997</v>
      </c>
      <c r="J13" s="25">
        <f>costos_var2160619[[#This Row],[Costo Total]]*0.05</f>
        <v>4.5149999999999997</v>
      </c>
      <c r="K13" s="25">
        <f>SUM(costos_var2160619[[#This Row],[Costo Total]],costos_var2160619[[#This Row],[comisión sobre transacción ]],costos_var2160619[[#This Row],[costo de envío interno en china ]])</f>
        <v>99.33</v>
      </c>
      <c r="L13" s="25">
        <f>1.4*costos_var2160619[[#This Row],[Peso total (libras)]]</f>
        <v>27.72</v>
      </c>
      <c r="M13" s="25">
        <f>costos_var2160619[[#This Row],[Peso total (libras)]]*$E$29</f>
        <v>49.5</v>
      </c>
      <c r="N13" s="25">
        <f>SUM(costos_var2160619[[#This Row],[Costo Envío China-USA]],costos_var2160619[[#This Row],[Costo Envío  USA-NIC ($)]])</f>
        <v>77.22</v>
      </c>
      <c r="O13" s="25">
        <f>SUM(costos_var2160619[[#This Row],[Costo envío Total ($)]], costos_var2160619[[#This Row],[Costo Total]], costos_var2160619[[#This Row],[comisión sobre transacción ]], costos_var2160619[[#This Row],[costo de envío interno en china ]])</f>
        <v>176.54999999999995</v>
      </c>
      <c r="P13" s="25">
        <f>costos_var2160619[[#This Row],[Costo Total Lote ($)]]/costos_var2160619[[#This Row],[Cantidad]]</f>
        <v>5.8849999999999989</v>
      </c>
      <c r="Q13" s="25">
        <v>10</v>
      </c>
      <c r="R13" s="25">
        <f>costos_var2160619[[#This Row],[Cantidad]]*costos_var2160619[[#This Row],[Precio de venta]]</f>
        <v>300</v>
      </c>
      <c r="S13" s="25">
        <f>costos_var2160619[[#This Row],[Ingreso total  por producto]]-costos_var2160619[[#This Row],[Costo Total Lote ($)]]</f>
        <v>123.45000000000005</v>
      </c>
      <c r="T13" s="12">
        <f>((costos_var2160619[[#This Row],[Precio de venta]]-costos_var2160619[[#This Row],[Costo Unitario NIC]])/costos_var2160619[[#This Row],[Costo Unitario NIC]])</f>
        <v>0.69923534409515753</v>
      </c>
      <c r="U13" s="12">
        <f>((costos_var2160619[[#This Row],[Precio de venta]]-costos_var2160619[[#This Row],[Costo Unitario NIC]])/costos_var2160619[[#This Row],[Precio de venta]])</f>
        <v>0.41150000000000009</v>
      </c>
      <c r="V13" s="35" t="s">
        <v>50</v>
      </c>
      <c r="W13" s="9">
        <v>1688</v>
      </c>
    </row>
    <row r="14" spans="1:23" x14ac:dyDescent="0.25">
      <c r="A14" s="37" t="s">
        <v>63</v>
      </c>
      <c r="B14" s="25">
        <v>0.5</v>
      </c>
      <c r="C14" s="25">
        <f>costos_var2160619[[#This Row],[Peso del producto en Kg]]*2.2</f>
        <v>1.1000000000000001</v>
      </c>
      <c r="D14" s="25">
        <f>costos_var2160619[[#This Row],[Cantidad]]*costos_var2160619[[#This Row],[Peso del producto en Kg]]</f>
        <v>5</v>
      </c>
      <c r="E14" s="25">
        <f>costos_var2160619[[#This Row],[Peso total en Kg]]*2.2</f>
        <v>11</v>
      </c>
      <c r="F14" s="28">
        <v>10</v>
      </c>
      <c r="G14" s="25">
        <v>3.39</v>
      </c>
      <c r="H14" s="25">
        <f>costos_var2160619[[#This Row],[Cantidad]]*costos_var2160619[[#This Row],[Costo Unitario ($)]]</f>
        <v>33.9</v>
      </c>
      <c r="I14" s="25">
        <f>costos_var2160619[[#This Row],[Costo Total]]*0.05</f>
        <v>1.6950000000000001</v>
      </c>
      <c r="J14" s="25">
        <f>costos_var2160619[[#This Row],[Costo Total]]*0.05</f>
        <v>1.6950000000000001</v>
      </c>
      <c r="K14" s="25">
        <f>SUM(costos_var2160619[[#This Row],[Costo Total]],costos_var2160619[[#This Row],[comisión sobre transacción ]],costos_var2160619[[#This Row],[costo de envío interno en china ]])</f>
        <v>37.29</v>
      </c>
      <c r="L14" s="25">
        <f>1.4*costos_var2160619[[#This Row],[Peso total (libras)]]</f>
        <v>15.399999999999999</v>
      </c>
      <c r="M14" s="25">
        <f>costos_var2160619[[#This Row],[Peso total (libras)]]*$E$29</f>
        <v>27.5</v>
      </c>
      <c r="N14" s="25">
        <f>SUM(costos_var2160619[[#This Row],[Costo Envío China-USA]],costos_var2160619[[#This Row],[Costo Envío  USA-NIC ($)]])</f>
        <v>42.9</v>
      </c>
      <c r="O14" s="25">
        <f>SUM(costos_var2160619[[#This Row],[Costo envío Total ($)]], costos_var2160619[[#This Row],[Costo Total]], costos_var2160619[[#This Row],[comisión sobre transacción ]], costos_var2160619[[#This Row],[costo de envío interno en china ]])</f>
        <v>80.189999999999984</v>
      </c>
      <c r="P14" s="25">
        <f>costos_var2160619[[#This Row],[Costo Total Lote ($)]]/costos_var2160619[[#This Row],[Cantidad]]</f>
        <v>8.0189999999999984</v>
      </c>
      <c r="Q14" s="25">
        <v>16.170000000000002</v>
      </c>
      <c r="R14" s="25">
        <f>costos_var2160619[[#This Row],[Cantidad]]*costos_var2160619[[#This Row],[Precio de venta]]</f>
        <v>161.70000000000002</v>
      </c>
      <c r="S14" s="25">
        <f>costos_var2160619[[#This Row],[Ingreso total  por producto]]-costos_var2160619[[#This Row],[Costo Total Lote ($)]]</f>
        <v>81.510000000000034</v>
      </c>
      <c r="T14" s="12">
        <f>((costos_var2160619[[#This Row],[Precio de venta]]-costos_var2160619[[#This Row],[Costo Unitario NIC]])/costos_var2160619[[#This Row],[Costo Unitario NIC]])</f>
        <v>1.0164609053497948</v>
      </c>
      <c r="U14" s="12">
        <f>((costos_var2160619[[#This Row],[Precio de venta]]-costos_var2160619[[#This Row],[Costo Unitario NIC]])/costos_var2160619[[#This Row],[Precio de venta]])</f>
        <v>0.50408163265306138</v>
      </c>
      <c r="V14" s="35" t="s">
        <v>50</v>
      </c>
      <c r="W14" s="9">
        <v>1688</v>
      </c>
    </row>
    <row r="15" spans="1:23" x14ac:dyDescent="0.25">
      <c r="A15" s="37" t="s">
        <v>68</v>
      </c>
      <c r="B15" s="25">
        <v>0.1</v>
      </c>
      <c r="C15" s="25">
        <f>costos_var2160619[[#This Row],[Peso del producto en Kg]]*2.2</f>
        <v>0.22000000000000003</v>
      </c>
      <c r="D15" s="25">
        <f>costos_var2160619[[#This Row],[Cantidad]]*costos_var2160619[[#This Row],[Peso del producto en Kg]]</f>
        <v>2</v>
      </c>
      <c r="E15" s="25">
        <f>costos_var2160619[[#This Row],[Peso total en Kg]]*2.2</f>
        <v>4.4000000000000004</v>
      </c>
      <c r="F15" s="28">
        <v>20</v>
      </c>
      <c r="G15" s="25">
        <v>1.52</v>
      </c>
      <c r="H15" s="25">
        <f>costos_var2160619[[#This Row],[Cantidad]]*costos_var2160619[[#This Row],[Costo Unitario ($)]]</f>
        <v>30.4</v>
      </c>
      <c r="I15" s="25">
        <f>costos_var2160619[[#This Row],[Costo Total]]*0.05</f>
        <v>1.52</v>
      </c>
      <c r="J15" s="25">
        <f>costos_var2160619[[#This Row],[Costo Total]]*0.05</f>
        <v>1.52</v>
      </c>
      <c r="K15" s="25">
        <f>SUM(costos_var2160619[[#This Row],[Costo Total]],costos_var2160619[[#This Row],[comisión sobre transacción ]],costos_var2160619[[#This Row],[costo de envío interno en china ]])</f>
        <v>33.44</v>
      </c>
      <c r="L15" s="25">
        <f>1.4*costos_var2160619[[#This Row],[Peso total (libras)]]</f>
        <v>6.16</v>
      </c>
      <c r="M15" s="25">
        <f>costos_var2160619[[#This Row],[Peso total (libras)]]*$E$29</f>
        <v>11</v>
      </c>
      <c r="N15" s="25">
        <f>SUM(costos_var2160619[[#This Row],[Costo Envío China-USA]],costos_var2160619[[#This Row],[Costo Envío  USA-NIC ($)]])</f>
        <v>17.16</v>
      </c>
      <c r="O15" s="25">
        <f>SUM(costos_var2160619[[#This Row],[Costo envío Total ($)]], costos_var2160619[[#This Row],[Costo Total]], costos_var2160619[[#This Row],[comisión sobre transacción ]], costos_var2160619[[#This Row],[costo de envío interno en china ]])</f>
        <v>50.600000000000009</v>
      </c>
      <c r="P15" s="25">
        <f>costos_var2160619[[#This Row],[Costo Total Lote ($)]]/costos_var2160619[[#This Row],[Cantidad]]</f>
        <v>2.5300000000000002</v>
      </c>
      <c r="Q15" s="25">
        <v>8.14</v>
      </c>
      <c r="R15" s="25">
        <f>costos_var2160619[[#This Row],[Cantidad]]*costos_var2160619[[#This Row],[Precio de venta]]</f>
        <v>162.80000000000001</v>
      </c>
      <c r="S15" s="25">
        <f>costos_var2160619[[#This Row],[Ingreso total  por producto]]-costos_var2160619[[#This Row],[Costo Total Lote ($)]]</f>
        <v>112.2</v>
      </c>
      <c r="T15" s="12">
        <f>((costos_var2160619[[#This Row],[Precio de venta]]-costos_var2160619[[#This Row],[Costo Unitario NIC]])/costos_var2160619[[#This Row],[Costo Unitario NIC]])</f>
        <v>2.2173913043478262</v>
      </c>
      <c r="U15" s="12">
        <f>((costos_var2160619[[#This Row],[Precio de venta]]-costos_var2160619[[#This Row],[Costo Unitario NIC]])/costos_var2160619[[#This Row],[Precio de venta]])</f>
        <v>0.68918918918918914</v>
      </c>
      <c r="V15" s="36" t="s">
        <v>50</v>
      </c>
      <c r="W15" s="9">
        <v>1688</v>
      </c>
    </row>
    <row r="16" spans="1:23" x14ac:dyDescent="0.25">
      <c r="A16" s="31" t="s">
        <v>87</v>
      </c>
      <c r="B16" s="25">
        <v>0.2</v>
      </c>
      <c r="C16" s="25">
        <f>costos_var2160619[[#This Row],[Peso del producto en Kg]]*2.2</f>
        <v>0.44000000000000006</v>
      </c>
      <c r="D16" s="25">
        <f>costos_var2160619[[#This Row],[Cantidad]]*costos_var2160619[[#This Row],[Peso del producto en Kg]]</f>
        <v>5</v>
      </c>
      <c r="E16" s="25">
        <f>costos_var2160619[[#This Row],[Peso total en Kg]]*2.2</f>
        <v>11</v>
      </c>
      <c r="F16" s="28">
        <v>25</v>
      </c>
      <c r="G16" s="25">
        <v>2</v>
      </c>
      <c r="H16" s="25">
        <f>costos_var2160619[[#This Row],[Cantidad]]*costos_var2160619[[#This Row],[Costo Unitario ($)]]</f>
        <v>50</v>
      </c>
      <c r="I16" s="25">
        <f>costos_var2160619[[#This Row],[Costo Total]]*0.05</f>
        <v>2.5</v>
      </c>
      <c r="J16" s="25">
        <f>costos_var2160619[[#This Row],[Costo Total]]*0.05</f>
        <v>2.5</v>
      </c>
      <c r="K16" s="25">
        <f>SUM(costos_var2160619[[#This Row],[Costo Total]],costos_var2160619[[#This Row],[comisión sobre transacción ]],costos_var2160619[[#This Row],[costo de envío interno en china ]])</f>
        <v>55</v>
      </c>
      <c r="L16" s="25">
        <f>1.4*costos_var2160619[[#This Row],[Peso total (libras)]]</f>
        <v>15.399999999999999</v>
      </c>
      <c r="M16" s="25">
        <f>costos_var2160619[[#This Row],[Peso total (libras)]]*$E$29</f>
        <v>27.5</v>
      </c>
      <c r="N16" s="25">
        <f>SUM(costos_var2160619[[#This Row],[Costo Envío China-USA]],costos_var2160619[[#This Row],[Costo Envío  USA-NIC ($)]])</f>
        <v>42.9</v>
      </c>
      <c r="O16" s="25">
        <f>SUM(costos_var2160619[[#This Row],[Costo envío Total ($)]], costos_var2160619[[#This Row],[Costo Total]], costos_var2160619[[#This Row],[comisión sobre transacción ]], costos_var2160619[[#This Row],[costo de envío interno en china ]])</f>
        <v>97.9</v>
      </c>
      <c r="P16" s="25">
        <f>costos_var2160619[[#This Row],[Costo Total Lote ($)]]/costos_var2160619[[#This Row],[Cantidad]]</f>
        <v>3.9160000000000004</v>
      </c>
      <c r="Q16" s="25">
        <v>8.15</v>
      </c>
      <c r="R16" s="25">
        <f>costos_var2160619[[#This Row],[Cantidad]]*costos_var2160619[[#This Row],[Precio de venta]]</f>
        <v>203.75</v>
      </c>
      <c r="S16" s="25">
        <f>costos_var2160619[[#This Row],[Ingreso total  por producto]]-costos_var2160619[[#This Row],[Costo Total Lote ($)]]</f>
        <v>105.85</v>
      </c>
      <c r="T16" s="12">
        <f>((costos_var2160619[[#This Row],[Precio de venta]]-costos_var2160619[[#This Row],[Costo Unitario NIC]])/costos_var2160619[[#This Row],[Costo Unitario NIC]])</f>
        <v>1.0812053115423901</v>
      </c>
      <c r="U16" s="12">
        <f>((costos_var2160619[[#This Row],[Precio de venta]]-costos_var2160619[[#This Row],[Costo Unitario NIC]])/costos_var2160619[[#This Row],[Precio de venta]])</f>
        <v>0.51950920245398768</v>
      </c>
      <c r="V16" s="36"/>
      <c r="W16" s="9">
        <v>1689</v>
      </c>
    </row>
    <row r="17" spans="1:23" x14ac:dyDescent="0.25">
      <c r="A17" s="31"/>
      <c r="B17" s="25"/>
      <c r="C17" s="25"/>
      <c r="D17" s="25"/>
      <c r="E17" s="25"/>
      <c r="F17" s="28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12"/>
      <c r="U17" s="12"/>
      <c r="V17" s="9"/>
      <c r="W17" s="9"/>
    </row>
    <row r="18" spans="1:23" x14ac:dyDescent="0.25">
      <c r="A18" s="33" t="s">
        <v>51</v>
      </c>
      <c r="B18" s="27">
        <f>SUM(B8:B16)</f>
        <v>2.5000000000000004</v>
      </c>
      <c r="C18" s="27">
        <f>costos_var2160619[[#This Row],[Peso del producto en Kg]]*2.2</f>
        <v>5.5000000000000018</v>
      </c>
      <c r="D18" s="27">
        <f>SUM(D8:D16)</f>
        <v>57.2</v>
      </c>
      <c r="E18" s="27">
        <f>SUM(E8:E16)</f>
        <v>125.84000000000002</v>
      </c>
      <c r="F18" s="29">
        <f>SUM(F8:F16)</f>
        <v>217</v>
      </c>
      <c r="G18" s="27">
        <f>SUM(G8:G16)</f>
        <v>26.430000000000003</v>
      </c>
      <c r="H18" s="27">
        <f>SUM(H8:H16)</f>
        <v>603.54</v>
      </c>
      <c r="I18" s="27">
        <f>costos_var2160619[[#This Row],[Costo Total]]*0.05</f>
        <v>30.177</v>
      </c>
      <c r="J18" s="27">
        <f>costos_var2160619[[#This Row],[Costo Total]]*0.05</f>
        <v>30.177</v>
      </c>
      <c r="K18" s="27">
        <f>SUM(costos_var2160619[[#This Row],[Costo Total]],costos_var2160619[[#This Row],[comisión sobre transacción ]],costos_var2160619[[#This Row],[costo de envío interno en china ]])</f>
        <v>663.89400000000001</v>
      </c>
      <c r="L18" s="27">
        <f t="shared" ref="L18:S18" si="0">SUM(L8:L16)</f>
        <v>176.17600000000002</v>
      </c>
      <c r="M18" s="27">
        <f t="shared" si="0"/>
        <v>314.60000000000002</v>
      </c>
      <c r="N18" s="27">
        <f t="shared" si="0"/>
        <v>490.77600000000001</v>
      </c>
      <c r="O18" s="27">
        <f t="shared" si="0"/>
        <v>1154.6699999999998</v>
      </c>
      <c r="P18" s="27">
        <f t="shared" si="0"/>
        <v>50.522999999999996</v>
      </c>
      <c r="Q18" s="27">
        <f t="shared" si="0"/>
        <v>96.76</v>
      </c>
      <c r="R18" s="27">
        <f t="shared" si="0"/>
        <v>2208.75</v>
      </c>
      <c r="S18" s="27">
        <f t="shared" si="0"/>
        <v>1054.0800000000002</v>
      </c>
      <c r="T18" s="9"/>
      <c r="U18" s="9"/>
      <c r="V18" s="9"/>
      <c r="W18" s="9"/>
    </row>
    <row r="19" spans="1:23" x14ac:dyDescent="0.25"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</row>
    <row r="20" spans="1:23" x14ac:dyDescent="0.25">
      <c r="A20" s="11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34"/>
      <c r="M20" s="34"/>
      <c r="N20" s="25"/>
      <c r="O20" s="25"/>
      <c r="P20" s="25"/>
      <c r="Q20" s="25"/>
      <c r="R20" s="25"/>
      <c r="S20" s="26"/>
      <c r="T20" s="26"/>
      <c r="U20" s="26"/>
    </row>
    <row r="21" spans="1:23" x14ac:dyDescent="0.25">
      <c r="S21" s="26"/>
      <c r="T21" s="26"/>
      <c r="U21" s="26"/>
    </row>
    <row r="22" spans="1:23" x14ac:dyDescent="0.25">
      <c r="F22" s="14"/>
      <c r="G22" s="14"/>
      <c r="H22" s="14"/>
    </row>
    <row r="23" spans="1:23" x14ac:dyDescent="0.25">
      <c r="F23" s="14"/>
      <c r="G23" s="14"/>
      <c r="H23" s="14"/>
    </row>
    <row r="24" spans="1:23" x14ac:dyDescent="0.25">
      <c r="F24" s="16"/>
      <c r="G24" s="16"/>
      <c r="H24" s="16"/>
    </row>
    <row r="25" spans="1:23" x14ac:dyDescent="0.25">
      <c r="D25" s="15"/>
      <c r="E25" s="16"/>
      <c r="F25" s="14"/>
      <c r="G25" s="14"/>
      <c r="H25" s="14"/>
    </row>
    <row r="26" spans="1:23" x14ac:dyDescent="0.25">
      <c r="D26" s="13"/>
      <c r="E26" s="14"/>
      <c r="F26" s="14"/>
      <c r="G26" s="14"/>
      <c r="H26" s="14"/>
    </row>
    <row r="27" spans="1:23" ht="30" x14ac:dyDescent="0.25">
      <c r="A27" s="17" t="s">
        <v>17</v>
      </c>
      <c r="B27" s="17" t="s">
        <v>26</v>
      </c>
      <c r="D27" s="15"/>
      <c r="E27" s="16"/>
      <c r="F27" s="16"/>
      <c r="G27" s="1"/>
      <c r="H27" s="1"/>
      <c r="I27" s="1"/>
    </row>
    <row r="28" spans="1:23" ht="30" x14ac:dyDescent="0.25">
      <c r="A28" s="18" t="s">
        <v>27</v>
      </c>
      <c r="B28" s="19">
        <f>R18</f>
        <v>2208.75</v>
      </c>
      <c r="D28" s="7" t="s">
        <v>24</v>
      </c>
      <c r="E28" s="7" t="s">
        <v>5</v>
      </c>
      <c r="F28" s="14"/>
      <c r="G28" s="18"/>
      <c r="H28" s="18"/>
      <c r="I28" s="18"/>
    </row>
    <row r="29" spans="1:23" ht="45" x14ac:dyDescent="0.25">
      <c r="A29" s="1"/>
      <c r="B29" s="1"/>
      <c r="D29" s="5" t="s">
        <v>25</v>
      </c>
      <c r="E29" s="5">
        <v>2.5</v>
      </c>
      <c r="F29" s="14"/>
      <c r="G29" s="1"/>
      <c r="H29" s="1"/>
      <c r="I29" s="1"/>
    </row>
    <row r="30" spans="1:23" ht="45" x14ac:dyDescent="0.25">
      <c r="A30" s="18" t="s">
        <v>28</v>
      </c>
      <c r="B30" s="1"/>
      <c r="D30" s="5" t="s">
        <v>6</v>
      </c>
      <c r="E30" s="5" t="s">
        <v>19</v>
      </c>
      <c r="F30" s="16"/>
      <c r="G30" s="18"/>
      <c r="H30" s="18"/>
      <c r="I30" s="18"/>
    </row>
    <row r="31" spans="1:23" x14ac:dyDescent="0.25">
      <c r="A31" s="1" t="s">
        <v>29</v>
      </c>
      <c r="B31" s="30">
        <f>SUM(K8:K16)</f>
        <v>663.89400000000001</v>
      </c>
      <c r="C31" s="5"/>
      <c r="D31" s="15"/>
      <c r="E31" s="16"/>
      <c r="F31" s="14"/>
      <c r="G31" s="18"/>
      <c r="H31" s="18"/>
      <c r="I31" s="18"/>
    </row>
    <row r="32" spans="1:23" x14ac:dyDescent="0.25">
      <c r="A32" s="1" t="s">
        <v>30</v>
      </c>
      <c r="B32" s="3">
        <f>SUM(N8:N16)</f>
        <v>490.77600000000001</v>
      </c>
      <c r="C32" s="5"/>
      <c r="D32" s="13"/>
      <c r="E32" s="14"/>
      <c r="F32" s="14"/>
      <c r="G32" s="1"/>
      <c r="H32" s="1"/>
      <c r="I32" s="1"/>
    </row>
    <row r="33" spans="1:9" x14ac:dyDescent="0.25">
      <c r="A33" s="1" t="s">
        <v>31</v>
      </c>
      <c r="B33" s="3"/>
      <c r="C33" s="14"/>
      <c r="D33" s="14"/>
      <c r="E33" s="14"/>
      <c r="F33" s="16"/>
      <c r="G33" s="1"/>
      <c r="H33" s="1"/>
      <c r="I33" s="1"/>
    </row>
    <row r="34" spans="1:9" x14ac:dyDescent="0.25">
      <c r="A34" s="18" t="s">
        <v>32</v>
      </c>
      <c r="B34" s="20">
        <f>SUM(B31:B33)</f>
        <v>1154.67</v>
      </c>
      <c r="C34" s="14"/>
      <c r="D34" s="14"/>
      <c r="E34" s="14"/>
      <c r="F34" s="14"/>
      <c r="G34" s="18"/>
      <c r="H34" s="18"/>
      <c r="I34" s="18"/>
    </row>
    <row r="35" spans="1:9" x14ac:dyDescent="0.25">
      <c r="A35" s="1"/>
      <c r="B35" s="1"/>
      <c r="C35" s="16"/>
      <c r="D35" s="16"/>
      <c r="E35" s="16"/>
    </row>
    <row r="36" spans="1:9" x14ac:dyDescent="0.25">
      <c r="A36" s="18" t="s">
        <v>33</v>
      </c>
      <c r="B36" s="2">
        <f>B28-B31-B32</f>
        <v>1054.08</v>
      </c>
    </row>
    <row r="37" spans="1:9" x14ac:dyDescent="0.25">
      <c r="A37" s="18" t="s">
        <v>34</v>
      </c>
      <c r="B37" s="2">
        <f>B36-B33</f>
        <v>1054.08</v>
      </c>
    </row>
    <row r="38" spans="1:9" x14ac:dyDescent="0.25">
      <c r="A38" s="1"/>
      <c r="B38" s="1"/>
    </row>
    <row r="39" spans="1:9" x14ac:dyDescent="0.25">
      <c r="A39" s="18" t="s">
        <v>35</v>
      </c>
      <c r="B39" s="1"/>
    </row>
    <row r="40" spans="1:9" x14ac:dyDescent="0.25">
      <c r="A40" s="1" t="s">
        <v>36</v>
      </c>
      <c r="B40" s="21">
        <f>B36/B28</f>
        <v>0.47722920203735142</v>
      </c>
      <c r="C40" s="5"/>
      <c r="F40" s="14"/>
      <c r="G40" s="1"/>
      <c r="H40" s="21"/>
    </row>
    <row r="41" spans="1:9" x14ac:dyDescent="0.25">
      <c r="A41" s="1" t="s">
        <v>37</v>
      </c>
      <c r="B41" s="21">
        <f>B37/B28</f>
        <v>0.47722920203735142</v>
      </c>
      <c r="G41" s="1"/>
      <c r="H41" s="21"/>
    </row>
    <row r="42" spans="1:9" ht="30" x14ac:dyDescent="0.25">
      <c r="A42" s="1" t="s">
        <v>38</v>
      </c>
      <c r="B42" s="21">
        <f>B37/B34</f>
        <v>0.91288420068071385</v>
      </c>
      <c r="G42" s="1"/>
      <c r="H42" s="21"/>
    </row>
    <row r="55" spans="4:11" x14ac:dyDescent="0.25">
      <c r="I55" s="5"/>
      <c r="J55" s="5"/>
      <c r="K55" s="5"/>
    </row>
    <row r="56" spans="4:11" x14ac:dyDescent="0.25">
      <c r="I56" s="5"/>
      <c r="J56" s="5"/>
      <c r="K56" s="10"/>
    </row>
    <row r="57" spans="4:11" x14ac:dyDescent="0.25">
      <c r="I57" s="5"/>
      <c r="J57" s="5"/>
      <c r="K57" s="5"/>
    </row>
    <row r="58" spans="4:11" x14ac:dyDescent="0.25">
      <c r="J58" s="10"/>
      <c r="K58" s="5"/>
    </row>
    <row r="59" spans="4:11" x14ac:dyDescent="0.25">
      <c r="I59" s="10"/>
      <c r="J59" s="5"/>
      <c r="K59" s="5"/>
    </row>
    <row r="60" spans="4:11" x14ac:dyDescent="0.25">
      <c r="D60" s="5"/>
      <c r="E60" s="5"/>
      <c r="I60" s="5"/>
      <c r="J60" s="5"/>
      <c r="K60" s="8"/>
    </row>
  </sheetData>
  <mergeCells count="1">
    <mergeCell ref="A6:B6"/>
  </mergeCells>
  <hyperlinks>
    <hyperlink ref="V15" r:id="rId1" xr:uid="{0A6118E0-C273-482E-9E03-12B1FC8CB5E9}"/>
    <hyperlink ref="V13" r:id="rId2" xr:uid="{C003CCCE-EC5C-4EC7-B098-238E819A1A6D}"/>
    <hyperlink ref="V8" r:id="rId3" xr:uid="{28DA4D3E-9CDE-4DEE-BC5C-88FCA1A3CDA8}"/>
    <hyperlink ref="V12" r:id="rId4" xr:uid="{62B9EFF8-F89D-4DD0-8C40-19C228EDA8B8}"/>
    <hyperlink ref="V14" r:id="rId5" xr:uid="{D289F47F-B820-470A-9311-1A91C9D737E5}"/>
    <hyperlink ref="V9" r:id="rId6" xr:uid="{0A7EB739-E13F-40D4-AAEC-128816DF6863}"/>
    <hyperlink ref="V10" r:id="rId7" xr:uid="{1E96A8FC-B86F-4FA3-87D5-4E1C303E1B86}"/>
  </hyperlinks>
  <pageMargins left="0.7" right="0.7" top="0.75" bottom="0.75" header="0.3" footer="0.3"/>
  <drawing r:id="rId8"/>
  <tableParts count="3">
    <tablePart r:id="rId9"/>
    <tablePart r:id="rId10"/>
    <tablePart r:id="rId1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2BB56-774E-447A-A127-18923F5823C5}">
  <dimension ref="A1:W56"/>
  <sheetViews>
    <sheetView tabSelected="1" topLeftCell="A3" workbookViewId="0">
      <selection activeCell="C13" sqref="C13"/>
    </sheetView>
  </sheetViews>
  <sheetFormatPr baseColWidth="10" defaultRowHeight="15" x14ac:dyDescent="0.25"/>
  <cols>
    <col min="1" max="1" width="33.28515625" customWidth="1"/>
  </cols>
  <sheetData>
    <row r="1" spans="1:23" ht="22.5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5"/>
    </row>
    <row r="2" spans="1:23" ht="22.5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5"/>
    </row>
    <row r="3" spans="1:23" ht="22.5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5"/>
    </row>
    <row r="4" spans="1:23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23" ht="45" x14ac:dyDescent="0.25">
      <c r="A5" s="5"/>
      <c r="B5" s="5"/>
      <c r="C5" s="5"/>
      <c r="D5" s="5"/>
      <c r="E5" s="5"/>
      <c r="F5" s="6" t="s">
        <v>4</v>
      </c>
      <c r="G5" s="6">
        <v>36.619999999999997</v>
      </c>
      <c r="H5" s="5"/>
      <c r="I5" s="5"/>
      <c r="J5" s="5"/>
      <c r="K5" s="5"/>
    </row>
    <row r="6" spans="1:23" ht="18.75" x14ac:dyDescent="0.25">
      <c r="A6" s="38" t="s">
        <v>9</v>
      </c>
      <c r="B6" s="38"/>
      <c r="C6" s="9"/>
      <c r="D6" s="9"/>
      <c r="E6" s="9"/>
      <c r="F6" s="9"/>
      <c r="G6" s="9"/>
      <c r="H6" s="9"/>
      <c r="I6" s="9"/>
      <c r="J6" s="5"/>
      <c r="K6" s="5"/>
    </row>
    <row r="7" spans="1:23" ht="60" x14ac:dyDescent="0.25">
      <c r="A7" s="23" t="s">
        <v>1</v>
      </c>
      <c r="B7" s="23" t="s">
        <v>16</v>
      </c>
      <c r="C7" s="23" t="s">
        <v>2</v>
      </c>
      <c r="D7" s="23" t="s">
        <v>15</v>
      </c>
      <c r="E7" s="23" t="s">
        <v>3</v>
      </c>
      <c r="F7" s="23" t="s">
        <v>0</v>
      </c>
      <c r="G7" s="23" t="s">
        <v>12</v>
      </c>
      <c r="H7" s="23" t="s">
        <v>8</v>
      </c>
      <c r="I7" s="23" t="s">
        <v>40</v>
      </c>
      <c r="J7" s="23" t="s">
        <v>41</v>
      </c>
      <c r="K7" s="23" t="s">
        <v>42</v>
      </c>
      <c r="L7" s="23" t="s">
        <v>10</v>
      </c>
      <c r="M7" s="23" t="s">
        <v>39</v>
      </c>
      <c r="N7" s="23" t="s">
        <v>14</v>
      </c>
      <c r="O7" s="23" t="s">
        <v>11</v>
      </c>
      <c r="P7" s="23" t="s">
        <v>13</v>
      </c>
      <c r="Q7" s="24" t="s">
        <v>18</v>
      </c>
      <c r="R7" s="24" t="s">
        <v>20</v>
      </c>
      <c r="S7" s="23" t="s">
        <v>21</v>
      </c>
      <c r="T7" s="23" t="s">
        <v>22</v>
      </c>
      <c r="U7" s="23" t="s">
        <v>23</v>
      </c>
      <c r="V7" s="23" t="s">
        <v>49</v>
      </c>
      <c r="W7" s="23" t="s">
        <v>64</v>
      </c>
    </row>
    <row r="8" spans="1:23" x14ac:dyDescent="0.25">
      <c r="A8" s="37" t="s">
        <v>66</v>
      </c>
      <c r="B8" s="25">
        <v>0.2</v>
      </c>
      <c r="C8" s="25">
        <f>costos_var21606193[[#This Row],[Peso del producto en Kg]]*2.2</f>
        <v>0.44000000000000006</v>
      </c>
      <c r="D8" s="25">
        <f>costos_var21606193[[#This Row],[Cantidad]]*costos_var21606193[[#This Row],[Peso del producto en Kg]]</f>
        <v>20</v>
      </c>
      <c r="E8" s="25">
        <f>costos_var21606193[[#This Row],[Peso total en Kg]]*2.2</f>
        <v>44</v>
      </c>
      <c r="F8" s="28">
        <v>100</v>
      </c>
      <c r="G8" s="25">
        <v>1.41</v>
      </c>
      <c r="H8" s="25">
        <f>costos_var21606193[[#This Row],[Cantidad]]*costos_var21606193[[#This Row],[Costo Unitario ($)]]</f>
        <v>141</v>
      </c>
      <c r="I8" s="25">
        <f>costos_var21606193[[#This Row],[Costo Total]]*0.05</f>
        <v>7.0500000000000007</v>
      </c>
      <c r="J8" s="25">
        <f>costos_var21606193[[#This Row],[Costo Total]]*0.05</f>
        <v>7.0500000000000007</v>
      </c>
      <c r="K8" s="25">
        <f>SUM(costos_var21606193[[#This Row],[Costo Total]],costos_var21606193[[#This Row],[comisión sobre transacción ]],costos_var21606193[[#This Row],[costo de envío interno en china ]])</f>
        <v>155.10000000000002</v>
      </c>
      <c r="L8" s="25">
        <f>1.4*costos_var21606193[[#This Row],[Peso total (libras)]]</f>
        <v>61.599999999999994</v>
      </c>
      <c r="M8" s="25">
        <f>costos_var21606193[[#This Row],[Peso total (libras)]]*$E$25</f>
        <v>110</v>
      </c>
      <c r="N8" s="25">
        <f>SUM(costos_var21606193[[#This Row],[Costo Envío China-USA]],costos_var21606193[[#This Row],[Costo Envío  USA-NIC ($)]])</f>
        <v>171.6</v>
      </c>
      <c r="O8" s="25">
        <f>SUM(costos_var21606193[[#This Row],[Costo envío Total ($)]], costos_var21606193[[#This Row],[Costo Total]], costos_var21606193[[#This Row],[comisión sobre transacción ]], costos_var21606193[[#This Row],[costo de envío interno en china ]])</f>
        <v>326.70000000000005</v>
      </c>
      <c r="P8" s="25">
        <f>costos_var21606193[[#This Row],[Costo Total Lote ($)]]/costos_var21606193[[#This Row],[Cantidad]]</f>
        <v>3.2670000000000003</v>
      </c>
      <c r="Q8" s="25">
        <v>8.15</v>
      </c>
      <c r="R8" s="25">
        <f>costos_var21606193[[#This Row],[Cantidad]]*costos_var21606193[[#This Row],[Precio de venta]]</f>
        <v>815</v>
      </c>
      <c r="S8" s="25">
        <f>costos_var21606193[[#This Row],[Ingreso total  por producto]]-costos_var21606193[[#This Row],[Costo Total Lote ($)]]</f>
        <v>488.29999999999995</v>
      </c>
      <c r="T8" s="12">
        <f>((costos_var21606193[[#This Row],[Precio de venta]]-costos_var21606193[[#This Row],[Costo Unitario NIC]])/costos_var21606193[[#This Row],[Costo Unitario NIC]])</f>
        <v>1.4946434037343126</v>
      </c>
      <c r="U8" s="12">
        <f>((costos_var21606193[[#This Row],[Precio de venta]]-costos_var21606193[[#This Row],[Costo Unitario NIC]])/costos_var21606193[[#This Row],[Precio de venta]])</f>
        <v>0.59914110429447853</v>
      </c>
      <c r="V8" s="35" t="s">
        <v>65</v>
      </c>
      <c r="W8" s="9">
        <v>1688</v>
      </c>
    </row>
    <row r="9" spans="1:23" x14ac:dyDescent="0.25">
      <c r="A9" s="37" t="s">
        <v>86</v>
      </c>
      <c r="B9" s="25">
        <v>0.2</v>
      </c>
      <c r="C9" s="25">
        <f>costos_var21606193[[#This Row],[Peso del producto en Kg]]*2.2</f>
        <v>0.44000000000000006</v>
      </c>
      <c r="D9" s="25">
        <f>costos_var21606193[[#This Row],[Cantidad]]*costos_var21606193[[#This Row],[Peso del producto en Kg]]</f>
        <v>4</v>
      </c>
      <c r="E9" s="25">
        <f>costos_var21606193[[#This Row],[Peso total en Kg]]*2.2</f>
        <v>8.8000000000000007</v>
      </c>
      <c r="F9" s="28">
        <v>20</v>
      </c>
      <c r="G9" s="25">
        <v>1.31</v>
      </c>
      <c r="H9" s="25">
        <f>costos_var21606193[[#This Row],[Cantidad]]*costos_var21606193[[#This Row],[Costo Unitario ($)]]</f>
        <v>26.200000000000003</v>
      </c>
      <c r="I9" s="25">
        <f>costos_var21606193[[#This Row],[Costo Total]]*0.05</f>
        <v>1.3100000000000003</v>
      </c>
      <c r="J9" s="25">
        <f>costos_var21606193[[#This Row],[Costo Total]]*0.05</f>
        <v>1.3100000000000003</v>
      </c>
      <c r="K9" s="25">
        <f>SUM(costos_var21606193[[#This Row],[Costo Total]],costos_var21606193[[#This Row],[comisión sobre transacción ]],costos_var21606193[[#This Row],[costo de envío interno en china ]])</f>
        <v>28.82</v>
      </c>
      <c r="L9" s="25">
        <f>1.4*costos_var21606193[[#This Row],[Peso total (libras)]]</f>
        <v>12.32</v>
      </c>
      <c r="M9" s="25">
        <f>costos_var21606193[[#This Row],[Peso total (libras)]]*$E$25</f>
        <v>22</v>
      </c>
      <c r="N9" s="25">
        <f>SUM(costos_var21606193[[#This Row],[Costo Envío China-USA]],costos_var21606193[[#This Row],[Costo Envío  USA-NIC ($)]])</f>
        <v>34.32</v>
      </c>
      <c r="O9" s="25">
        <f>SUM(costos_var21606193[[#This Row],[Costo envío Total ($)]], costos_var21606193[[#This Row],[Costo Total]], costos_var21606193[[#This Row],[comisión sobre transacción ]], costos_var21606193[[#This Row],[costo de envío interno en china ]])</f>
        <v>63.140000000000008</v>
      </c>
      <c r="P9" s="25">
        <f>costos_var21606193[[#This Row],[Costo Total Lote ($)]]/costos_var21606193[[#This Row],[Cantidad]]</f>
        <v>3.1570000000000005</v>
      </c>
      <c r="Q9" s="25">
        <v>8.15</v>
      </c>
      <c r="R9" s="25">
        <f>costos_var21606193[[#This Row],[Cantidad]]*costos_var21606193[[#This Row],[Precio de venta]]</f>
        <v>163</v>
      </c>
      <c r="S9" s="25">
        <f>costos_var21606193[[#This Row],[Ingreso total  por producto]]-costos_var21606193[[#This Row],[Costo Total Lote ($)]]</f>
        <v>99.859999999999985</v>
      </c>
      <c r="T9" s="12">
        <f>((costos_var21606193[[#This Row],[Precio de venta]]-costos_var21606193[[#This Row],[Costo Unitario NIC]])/costos_var21606193[[#This Row],[Costo Unitario NIC]])</f>
        <v>1.5815647766867278</v>
      </c>
      <c r="U9" s="12">
        <f>((costos_var21606193[[#This Row],[Precio de venta]]-costos_var21606193[[#This Row],[Costo Unitario NIC]])/costos_var21606193[[#This Row],[Precio de venta]])</f>
        <v>0.61263803680981599</v>
      </c>
      <c r="V9" s="35" t="s">
        <v>50</v>
      </c>
      <c r="W9" s="9">
        <v>1688</v>
      </c>
    </row>
    <row r="10" spans="1:23" x14ac:dyDescent="0.25">
      <c r="A10" s="37" t="s">
        <v>88</v>
      </c>
      <c r="B10" s="25">
        <v>0.2</v>
      </c>
      <c r="C10" s="25">
        <f>costos_var21606193[[#This Row],[Peso del producto en Kg]]*2.2</f>
        <v>0.44000000000000006</v>
      </c>
      <c r="D10" s="25">
        <f>costos_var21606193[[#This Row],[Cantidad]]*costos_var21606193[[#This Row],[Peso del producto en Kg]]</f>
        <v>3</v>
      </c>
      <c r="E10" s="25">
        <f>costos_var21606193[[#This Row],[Peso total en Kg]]*2.2</f>
        <v>6.6000000000000005</v>
      </c>
      <c r="F10" s="28">
        <v>15</v>
      </c>
      <c r="G10" s="25">
        <v>3.26</v>
      </c>
      <c r="H10" s="25">
        <f>costos_var21606193[[#This Row],[Cantidad]]*costos_var21606193[[#This Row],[Costo Unitario ($)]]</f>
        <v>48.9</v>
      </c>
      <c r="I10" s="25">
        <f>costos_var21606193[[#This Row],[Costo Total]]*0.05</f>
        <v>2.4450000000000003</v>
      </c>
      <c r="J10" s="25">
        <f>costos_var21606193[[#This Row],[Costo Total]]*0.05</f>
        <v>2.4450000000000003</v>
      </c>
      <c r="K10" s="25">
        <f>SUM(costos_var21606193[[#This Row],[Costo Total]],costos_var21606193[[#This Row],[comisión sobre transacción ]],costos_var21606193[[#This Row],[costo de envío interno en china ]])</f>
        <v>53.79</v>
      </c>
      <c r="L10" s="25">
        <f>1.4*costos_var21606193[[#This Row],[Peso total (libras)]]</f>
        <v>9.24</v>
      </c>
      <c r="M10" s="25">
        <f>costos_var21606193[[#This Row],[Peso total (libras)]]*$E$25</f>
        <v>16.5</v>
      </c>
      <c r="N10" s="25">
        <f>SUM(costos_var21606193[[#This Row],[Costo Envío China-USA]],costos_var21606193[[#This Row],[Costo Envío  USA-NIC ($)]])</f>
        <v>25.740000000000002</v>
      </c>
      <c r="O10" s="25">
        <f>SUM(costos_var21606193[[#This Row],[Costo envío Total ($)]], costos_var21606193[[#This Row],[Costo Total]], costos_var21606193[[#This Row],[comisión sobre transacción ]], costos_var21606193[[#This Row],[costo de envío interno en china ]])</f>
        <v>79.53</v>
      </c>
      <c r="P10" s="25">
        <f>costos_var21606193[[#This Row],[Costo Total Lote ($)]]/costos_var21606193[[#This Row],[Cantidad]]</f>
        <v>5.3020000000000005</v>
      </c>
      <c r="Q10" s="25">
        <v>9.52</v>
      </c>
      <c r="R10" s="25">
        <f>costos_var21606193[[#This Row],[Cantidad]]*costos_var21606193[[#This Row],[Precio de venta]]</f>
        <v>142.79999999999998</v>
      </c>
      <c r="S10" s="25">
        <f>costos_var21606193[[#This Row],[Ingreso total  por producto]]-costos_var21606193[[#This Row],[Costo Total Lote ($)]]</f>
        <v>63.269999999999982</v>
      </c>
      <c r="T10" s="12">
        <f>((costos_var21606193[[#This Row],[Precio de venta]]-costos_var21606193[[#This Row],[Costo Unitario NIC]])/costos_var21606193[[#This Row],[Costo Unitario NIC]])</f>
        <v>0.79554884949075799</v>
      </c>
      <c r="U10" s="12">
        <f>((costos_var21606193[[#This Row],[Precio de venta]]-costos_var21606193[[#This Row],[Costo Unitario NIC]])/costos_var21606193[[#This Row],[Precio de venta]])</f>
        <v>0.44306722689075623</v>
      </c>
      <c r="V10" s="35" t="s">
        <v>65</v>
      </c>
      <c r="W10" s="9">
        <v>1688</v>
      </c>
    </row>
    <row r="11" spans="1:23" x14ac:dyDescent="0.25">
      <c r="A11" s="37" t="s">
        <v>89</v>
      </c>
      <c r="B11" s="25">
        <v>0.2</v>
      </c>
      <c r="C11" s="25">
        <f>costos_var21606193[[#This Row],[Peso del producto en Kg]]*2.2</f>
        <v>0.44000000000000006</v>
      </c>
      <c r="D11" s="25">
        <f>costos_var21606193[[#This Row],[Cantidad]]*costos_var21606193[[#This Row],[Peso del producto en Kg]]</f>
        <v>3</v>
      </c>
      <c r="E11" s="25">
        <f>costos_var21606193[[#This Row],[Peso total en Kg]]*2.2</f>
        <v>6.6000000000000005</v>
      </c>
      <c r="F11" s="28">
        <v>15</v>
      </c>
      <c r="G11" s="25">
        <v>2.89</v>
      </c>
      <c r="H11" s="25">
        <f>costos_var21606193[[#This Row],[Cantidad]]*costos_var21606193[[#This Row],[Costo Unitario ($)]]</f>
        <v>43.35</v>
      </c>
      <c r="I11" s="25">
        <f>costos_var21606193[[#This Row],[Costo Total]]*0.05</f>
        <v>2.1675</v>
      </c>
      <c r="J11" s="25">
        <f>costos_var21606193[[#This Row],[Costo Total]]*0.05</f>
        <v>2.1675</v>
      </c>
      <c r="K11" s="25">
        <f>SUM(costos_var21606193[[#This Row],[Costo Total]],costos_var21606193[[#This Row],[comisión sobre transacción ]],costos_var21606193[[#This Row],[costo de envío interno en china ]])</f>
        <v>47.684999999999995</v>
      </c>
      <c r="L11" s="25">
        <f>1.4*costos_var21606193[[#This Row],[Peso total (libras)]]</f>
        <v>9.24</v>
      </c>
      <c r="M11" s="25">
        <f>costos_var21606193[[#This Row],[Peso total (libras)]]*$E$25</f>
        <v>16.5</v>
      </c>
      <c r="N11" s="25">
        <f>SUM(costos_var21606193[[#This Row],[Costo Envío China-USA]],costos_var21606193[[#This Row],[Costo Envío  USA-NIC ($)]])</f>
        <v>25.740000000000002</v>
      </c>
      <c r="O11" s="25">
        <f>SUM(costos_var21606193[[#This Row],[Costo envío Total ($)]], costos_var21606193[[#This Row],[Costo Total]], costos_var21606193[[#This Row],[comisión sobre transacción ]], costos_var21606193[[#This Row],[costo de envío interno en china ]])</f>
        <v>73.425000000000011</v>
      </c>
      <c r="P11" s="25">
        <f>costos_var21606193[[#This Row],[Costo Total Lote ($)]]/costos_var21606193[[#This Row],[Cantidad]]</f>
        <v>4.8950000000000005</v>
      </c>
      <c r="Q11" s="25">
        <v>8.16</v>
      </c>
      <c r="R11" s="25">
        <f>costos_var21606193[[#This Row],[Cantidad]]*costos_var21606193[[#This Row],[Precio de venta]]</f>
        <v>122.4</v>
      </c>
      <c r="S11" s="25">
        <f>costos_var21606193[[#This Row],[Ingreso total  por producto]]-costos_var21606193[[#This Row],[Costo Total Lote ($)]]</f>
        <v>48.974999999999994</v>
      </c>
      <c r="T11" s="12">
        <f>((costos_var21606193[[#This Row],[Precio de venta]]-costos_var21606193[[#This Row],[Costo Unitario NIC]])/costos_var21606193[[#This Row],[Costo Unitario NIC]])</f>
        <v>0.66700715015321743</v>
      </c>
      <c r="U11" s="12">
        <f>((costos_var21606193[[#This Row],[Precio de venta]]-costos_var21606193[[#This Row],[Costo Unitario NIC]])/costos_var21606193[[#This Row],[Precio de venta]])</f>
        <v>0.40012254901960781</v>
      </c>
      <c r="V11" s="36" t="s">
        <v>65</v>
      </c>
      <c r="W11" s="9">
        <v>1688</v>
      </c>
    </row>
    <row r="12" spans="1:23" x14ac:dyDescent="0.25">
      <c r="A12" s="37" t="s">
        <v>87</v>
      </c>
      <c r="B12" s="25">
        <v>0.2</v>
      </c>
      <c r="C12" s="25">
        <f>costos_var21606193[[#This Row],[Peso del producto en Kg]]*2.2</f>
        <v>0.44000000000000006</v>
      </c>
      <c r="D12" s="25">
        <f>costos_var21606193[[#This Row],[Cantidad]]*costos_var21606193[[#This Row],[Peso del producto en Kg]]</f>
        <v>6</v>
      </c>
      <c r="E12" s="25">
        <f>costos_var21606193[[#This Row],[Peso total en Kg]]*2.2</f>
        <v>13.200000000000001</v>
      </c>
      <c r="F12" s="28">
        <v>30</v>
      </c>
      <c r="G12" s="25">
        <v>2.0499999999999998</v>
      </c>
      <c r="H12" s="25">
        <f>costos_var21606193[[#This Row],[Cantidad]]*costos_var21606193[[#This Row],[Costo Unitario ($)]]</f>
        <v>61.499999999999993</v>
      </c>
      <c r="I12" s="25">
        <f>costos_var21606193[[#This Row],[Costo Total]]*0.05</f>
        <v>3.0749999999999997</v>
      </c>
      <c r="J12" s="25">
        <f>costos_var21606193[[#This Row],[Costo Total]]*0.05</f>
        <v>3.0749999999999997</v>
      </c>
      <c r="K12" s="25">
        <f>SUM(costos_var21606193[[#This Row],[Costo Total]],costos_var21606193[[#This Row],[comisión sobre transacción ]],costos_var21606193[[#This Row],[costo de envío interno en china ]])</f>
        <v>67.649999999999991</v>
      </c>
      <c r="L12" s="25">
        <f>1.4*costos_var21606193[[#This Row],[Peso total (libras)]]</f>
        <v>18.48</v>
      </c>
      <c r="M12" s="25">
        <f>costos_var21606193[[#This Row],[Peso total (libras)]]*$E$25</f>
        <v>33</v>
      </c>
      <c r="N12" s="25">
        <f>SUM(costos_var21606193[[#This Row],[Costo Envío China-USA]],costos_var21606193[[#This Row],[Costo Envío  USA-NIC ($)]])</f>
        <v>51.480000000000004</v>
      </c>
      <c r="O12" s="25">
        <f>SUM(costos_var21606193[[#This Row],[Costo envío Total ($)]], costos_var21606193[[#This Row],[Costo Total]], costos_var21606193[[#This Row],[comisión sobre transacción ]], costos_var21606193[[#This Row],[costo de envío interno en china ]])</f>
        <v>119.13</v>
      </c>
      <c r="P12" s="25">
        <f>costos_var21606193[[#This Row],[Costo Total Lote ($)]]/costos_var21606193[[#This Row],[Cantidad]]</f>
        <v>3.9709999999999996</v>
      </c>
      <c r="Q12" s="25">
        <v>8.15</v>
      </c>
      <c r="R12" s="25">
        <f>costos_var21606193[[#This Row],[Cantidad]]*costos_var21606193[[#This Row],[Precio de venta]]</f>
        <v>244.5</v>
      </c>
      <c r="S12" s="25">
        <f>costos_var21606193[[#This Row],[Ingreso total  por producto]]-costos_var21606193[[#This Row],[Costo Total Lote ($)]]</f>
        <v>125.37</v>
      </c>
      <c r="T12" s="12">
        <f>((costos_var21606193[[#This Row],[Precio de venta]]-costos_var21606193[[#This Row],[Costo Unitario NIC]])/costos_var21606193[[#This Row],[Costo Unitario NIC]])</f>
        <v>1.0523797532107784</v>
      </c>
      <c r="U12" s="12">
        <f>((costos_var21606193[[#This Row],[Precio de venta]]-costos_var21606193[[#This Row],[Costo Unitario NIC]])/costos_var21606193[[#This Row],[Precio de venta]])</f>
        <v>0.51276073619631901</v>
      </c>
      <c r="V12" s="36" t="s">
        <v>65</v>
      </c>
      <c r="W12" s="9">
        <v>1689</v>
      </c>
    </row>
    <row r="13" spans="1:23" x14ac:dyDescent="0.25">
      <c r="A13" s="31"/>
      <c r="B13" s="25"/>
      <c r="C13" s="25"/>
      <c r="D13" s="25"/>
      <c r="E13" s="25"/>
      <c r="F13" s="28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12"/>
      <c r="U13" s="12"/>
      <c r="V13" s="9"/>
      <c r="W13" s="9"/>
    </row>
    <row r="14" spans="1:23" x14ac:dyDescent="0.25">
      <c r="A14" s="33" t="s">
        <v>51</v>
      </c>
      <c r="B14" s="27">
        <f>SUM(B8:B12)</f>
        <v>1</v>
      </c>
      <c r="C14" s="27">
        <f>costos_var21606193[[#This Row],[Peso del producto en Kg]]*2.2</f>
        <v>2.2000000000000002</v>
      </c>
      <c r="D14" s="27">
        <f>SUM(D8:D12)</f>
        <v>36</v>
      </c>
      <c r="E14" s="27">
        <f>SUM(E8:E12)</f>
        <v>79.2</v>
      </c>
      <c r="F14" s="29">
        <f>SUM(F8:F12)</f>
        <v>180</v>
      </c>
      <c r="G14" s="27">
        <f>SUM(G8:G12)</f>
        <v>10.919999999999998</v>
      </c>
      <c r="H14" s="27">
        <f>SUM(H8:H12)</f>
        <v>320.95</v>
      </c>
      <c r="I14" s="27">
        <f>costos_var21606193[[#This Row],[Costo Total]]*0.05</f>
        <v>16.047499999999999</v>
      </c>
      <c r="J14" s="27">
        <f>costos_var21606193[[#This Row],[Costo Total]]*0.05</f>
        <v>16.047499999999999</v>
      </c>
      <c r="K14" s="27">
        <f>SUM(costos_var21606193[[#This Row],[Costo Total]],costos_var21606193[[#This Row],[comisión sobre transacción ]],costos_var21606193[[#This Row],[costo de envío interno en china ]])</f>
        <v>353.04500000000002</v>
      </c>
      <c r="L14" s="27">
        <f t="shared" ref="L14:S14" si="0">SUM(L8:L12)</f>
        <v>110.87999999999998</v>
      </c>
      <c r="M14" s="27">
        <f t="shared" si="0"/>
        <v>198</v>
      </c>
      <c r="N14" s="27">
        <f t="shared" si="0"/>
        <v>308.88</v>
      </c>
      <c r="O14" s="27">
        <f t="shared" si="0"/>
        <v>661.92500000000007</v>
      </c>
      <c r="P14" s="27">
        <f t="shared" si="0"/>
        <v>20.592000000000002</v>
      </c>
      <c r="Q14" s="27">
        <f t="shared" si="0"/>
        <v>42.13</v>
      </c>
      <c r="R14" s="27">
        <f t="shared" si="0"/>
        <v>1487.7</v>
      </c>
      <c r="S14" s="27">
        <f t="shared" si="0"/>
        <v>825.77499999999998</v>
      </c>
      <c r="T14" s="9"/>
      <c r="U14" s="9"/>
      <c r="V14" s="9"/>
      <c r="W14" s="9"/>
    </row>
    <row r="15" spans="1:23" x14ac:dyDescent="0.25"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</row>
    <row r="16" spans="1:23" x14ac:dyDescent="0.25">
      <c r="A16" s="11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34"/>
      <c r="M16" s="34"/>
      <c r="N16" s="25"/>
      <c r="O16" s="25"/>
      <c r="P16" s="25"/>
      <c r="Q16" s="25"/>
      <c r="R16" s="25"/>
      <c r="S16" s="26"/>
      <c r="T16" s="26"/>
      <c r="U16" s="26"/>
    </row>
    <row r="17" spans="1:21" x14ac:dyDescent="0.25">
      <c r="S17" s="26"/>
      <c r="T17" s="26"/>
      <c r="U17" s="26"/>
    </row>
    <row r="18" spans="1:21" x14ac:dyDescent="0.25">
      <c r="F18" s="14"/>
      <c r="G18" s="14"/>
      <c r="H18" s="14"/>
    </row>
    <row r="19" spans="1:21" x14ac:dyDescent="0.25">
      <c r="F19" s="14"/>
      <c r="G19" s="14"/>
      <c r="H19" s="14"/>
    </row>
    <row r="20" spans="1:21" x14ac:dyDescent="0.25">
      <c r="F20" s="16"/>
      <c r="G20" s="16"/>
      <c r="H20" s="16"/>
    </row>
    <row r="21" spans="1:21" x14ac:dyDescent="0.25">
      <c r="D21" s="15"/>
      <c r="E21" s="16"/>
      <c r="F21" s="14"/>
      <c r="G21" s="14"/>
      <c r="H21" s="14"/>
    </row>
    <row r="22" spans="1:21" x14ac:dyDescent="0.25">
      <c r="D22" s="13"/>
      <c r="E22" s="14"/>
      <c r="F22" s="14"/>
      <c r="G22" s="14"/>
      <c r="H22" s="14"/>
    </row>
    <row r="23" spans="1:21" ht="30" x14ac:dyDescent="0.25">
      <c r="A23" s="17" t="s">
        <v>17</v>
      </c>
      <c r="B23" s="17" t="s">
        <v>26</v>
      </c>
      <c r="D23" s="15"/>
      <c r="E23" s="16"/>
      <c r="F23" s="16"/>
      <c r="G23" s="1"/>
      <c r="H23" s="1"/>
      <c r="I23" s="1"/>
    </row>
    <row r="24" spans="1:21" ht="30" x14ac:dyDescent="0.25">
      <c r="A24" s="18" t="s">
        <v>27</v>
      </c>
      <c r="B24" s="19">
        <f>R14</f>
        <v>1487.7</v>
      </c>
      <c r="D24" s="7" t="s">
        <v>24</v>
      </c>
      <c r="E24" s="7" t="s">
        <v>5</v>
      </c>
      <c r="F24" s="14"/>
      <c r="G24" s="18"/>
      <c r="H24" s="18"/>
      <c r="I24" s="18"/>
    </row>
    <row r="25" spans="1:21" ht="45" x14ac:dyDescent="0.25">
      <c r="A25" s="1"/>
      <c r="B25" s="1"/>
      <c r="D25" s="5" t="s">
        <v>25</v>
      </c>
      <c r="E25" s="5">
        <v>2.5</v>
      </c>
      <c r="F25" s="14"/>
      <c r="G25" s="1"/>
      <c r="H25" s="1"/>
      <c r="I25" s="1"/>
    </row>
    <row r="26" spans="1:21" ht="45" x14ac:dyDescent="0.25">
      <c r="A26" s="18" t="s">
        <v>28</v>
      </c>
      <c r="B26" s="1"/>
      <c r="D26" s="5" t="s">
        <v>6</v>
      </c>
      <c r="E26" s="5" t="s">
        <v>19</v>
      </c>
      <c r="F26" s="16"/>
      <c r="G26" s="18"/>
      <c r="H26" s="18"/>
      <c r="I26" s="18"/>
    </row>
    <row r="27" spans="1:21" x14ac:dyDescent="0.25">
      <c r="A27" s="1" t="s">
        <v>29</v>
      </c>
      <c r="B27" s="30">
        <f>SUM(K8:K12)</f>
        <v>353.04499999999996</v>
      </c>
      <c r="C27" s="5"/>
      <c r="D27" s="15"/>
      <c r="E27" s="16"/>
      <c r="F27" s="14"/>
      <c r="G27" s="18"/>
      <c r="H27" s="18"/>
      <c r="I27" s="18"/>
    </row>
    <row r="28" spans="1:21" x14ac:dyDescent="0.25">
      <c r="A28" s="1" t="s">
        <v>30</v>
      </c>
      <c r="B28" s="3">
        <f>SUM(N8:N12)</f>
        <v>308.88</v>
      </c>
      <c r="C28" s="5"/>
      <c r="D28" s="13"/>
      <c r="E28" s="14"/>
      <c r="F28" s="14"/>
      <c r="G28" s="1"/>
      <c r="H28" s="1"/>
      <c r="I28" s="1"/>
    </row>
    <row r="29" spans="1:21" x14ac:dyDescent="0.25">
      <c r="A29" s="1" t="s">
        <v>31</v>
      </c>
      <c r="B29" s="3"/>
      <c r="C29" s="14"/>
      <c r="D29" s="14"/>
      <c r="E29" s="14"/>
      <c r="F29" s="16"/>
      <c r="G29" s="1"/>
      <c r="H29" s="1"/>
      <c r="I29" s="1"/>
    </row>
    <row r="30" spans="1:21" x14ac:dyDescent="0.25">
      <c r="A30" s="18" t="s">
        <v>32</v>
      </c>
      <c r="B30" s="20">
        <f>SUM(B27:B29)</f>
        <v>661.92499999999995</v>
      </c>
      <c r="C30" s="14"/>
      <c r="D30" s="14"/>
      <c r="E30" s="14"/>
      <c r="F30" s="14"/>
      <c r="G30" s="18"/>
      <c r="H30" s="18"/>
      <c r="I30" s="18"/>
    </row>
    <row r="31" spans="1:21" x14ac:dyDescent="0.25">
      <c r="A31" s="1"/>
      <c r="B31" s="1"/>
      <c r="C31" s="16"/>
      <c r="D31" s="16"/>
      <c r="E31" s="16"/>
    </row>
    <row r="32" spans="1:21" x14ac:dyDescent="0.25">
      <c r="A32" s="18" t="s">
        <v>33</v>
      </c>
      <c r="B32" s="2">
        <f>B24-B27-B28</f>
        <v>825.7750000000002</v>
      </c>
    </row>
    <row r="33" spans="1:8" x14ac:dyDescent="0.25">
      <c r="A33" s="18" t="s">
        <v>34</v>
      </c>
      <c r="B33" s="2">
        <f>B32-B29</f>
        <v>825.7750000000002</v>
      </c>
    </row>
    <row r="34" spans="1:8" x14ac:dyDescent="0.25">
      <c r="A34" s="1"/>
      <c r="B34" s="1"/>
    </row>
    <row r="35" spans="1:8" x14ac:dyDescent="0.25">
      <c r="A35" s="18" t="s">
        <v>35</v>
      </c>
      <c r="B35" s="1"/>
    </row>
    <row r="36" spans="1:8" x14ac:dyDescent="0.25">
      <c r="A36" s="1" t="s">
        <v>36</v>
      </c>
      <c r="B36" s="21">
        <f>B32/B24</f>
        <v>0.55506822612085782</v>
      </c>
      <c r="C36" s="5"/>
      <c r="F36" s="14"/>
      <c r="G36" s="1"/>
      <c r="H36" s="21"/>
    </row>
    <row r="37" spans="1:8" x14ac:dyDescent="0.25">
      <c r="A37" s="1" t="s">
        <v>37</v>
      </c>
      <c r="B37" s="21">
        <f>B33/B24</f>
        <v>0.55506822612085782</v>
      </c>
      <c r="G37" s="1"/>
      <c r="H37" s="21"/>
    </row>
    <row r="38" spans="1:8" ht="30" x14ac:dyDescent="0.25">
      <c r="A38" s="1" t="s">
        <v>38</v>
      </c>
      <c r="B38" s="21">
        <f>B33/B30</f>
        <v>1.2475355969331876</v>
      </c>
      <c r="G38" s="1"/>
      <c r="H38" s="21"/>
    </row>
    <row r="51" spans="4:11" x14ac:dyDescent="0.25">
      <c r="I51" s="5"/>
      <c r="J51" s="5"/>
      <c r="K51" s="5"/>
    </row>
    <row r="52" spans="4:11" x14ac:dyDescent="0.25">
      <c r="I52" s="5"/>
      <c r="J52" s="5"/>
      <c r="K52" s="10"/>
    </row>
    <row r="53" spans="4:11" x14ac:dyDescent="0.25">
      <c r="I53" s="5"/>
      <c r="J53" s="5"/>
      <c r="K53" s="5"/>
    </row>
    <row r="54" spans="4:11" x14ac:dyDescent="0.25">
      <c r="J54" s="10"/>
      <c r="K54" s="5"/>
    </row>
    <row r="55" spans="4:11" x14ac:dyDescent="0.25">
      <c r="I55" s="10"/>
      <c r="J55" s="5"/>
      <c r="K55" s="5"/>
    </row>
    <row r="56" spans="4:11" x14ac:dyDescent="0.25">
      <c r="D56" s="5"/>
      <c r="E56" s="5"/>
      <c r="I56" s="5"/>
      <c r="J56" s="5"/>
      <c r="K56" s="8"/>
    </row>
  </sheetData>
  <mergeCells count="1">
    <mergeCell ref="A6:B6"/>
  </mergeCells>
  <hyperlinks>
    <hyperlink ref="V8" r:id="rId1" xr:uid="{8889FD4F-DD63-4646-99D6-A27AEDB7A611}"/>
    <hyperlink ref="V12" r:id="rId2" xr:uid="{E316F4EE-6C4A-49C7-932B-AF5EC7E6094F}"/>
    <hyperlink ref="V9" r:id="rId3" xr:uid="{A41949F9-CCB8-485A-81DF-65A228F5C7AD}"/>
    <hyperlink ref="V10" r:id="rId4" xr:uid="{B836D6A0-11C0-4077-AA46-9227DF5C536A}"/>
    <hyperlink ref="V11" r:id="rId5" xr:uid="{9AC0D479-7F9E-4794-A232-F85E1D4FB004}"/>
  </hyperlinks>
  <pageMargins left="0.7" right="0.7" top="0.75" bottom="0.75" header="0.3" footer="0.3"/>
  <drawing r:id="rId6"/>
  <tableParts count="3"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Calculadora base</vt:lpstr>
      <vt:lpstr>Enero</vt:lpstr>
      <vt:lpstr>Febrero</vt:lpstr>
      <vt:lpstr>Abril-Mayo</vt:lpstr>
      <vt:lpstr>Fin de año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Steven Rizo Poveda</dc:creator>
  <cp:lastModifiedBy>Luden Alexander Pichardo Campos</cp:lastModifiedBy>
  <cp:lastPrinted>2025-06-19T06:17:50Z</cp:lastPrinted>
  <dcterms:created xsi:type="dcterms:W3CDTF">2024-12-27T03:46:58Z</dcterms:created>
  <dcterms:modified xsi:type="dcterms:W3CDTF">2026-08-16T20:06:53Z</dcterms:modified>
</cp:coreProperties>
</file>