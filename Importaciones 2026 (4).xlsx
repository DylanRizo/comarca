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 base" sheetId="1" r:id="rId4"/>
    <sheet state="visible" name="Enero" sheetId="2" r:id="rId5"/>
    <sheet state="visible" name="Febrero" sheetId="3" r:id="rId6"/>
    <sheet state="visible" name="Abril-Mayo" sheetId="4" r:id="rId7"/>
    <sheet state="visible" name="Junio-Julio" sheetId="5" r:id="rId8"/>
    <sheet state="visible" name="Posible inversion" sheetId="6" r:id="rId9"/>
  </sheets>
  <definedNames/>
  <calcPr/>
  <extLst>
    <ext uri="GoogleSheetsCustomDataVersion2">
      <go:sheetsCustomData xmlns:go="http://customooxmlschemas.google.com/" r:id="rId10" roundtripDataChecksum="E7UJRow5X0p7H0BOxdofIzs03NOpPpV/pKl1F/XARHw="/>
    </ext>
  </extLst>
</workbook>
</file>

<file path=xl/sharedStrings.xml><?xml version="1.0" encoding="utf-8"?>
<sst xmlns="http://schemas.openxmlformats.org/spreadsheetml/2006/main" count="372" uniqueCount="101">
  <si>
    <t xml:space="preserve">Cambio oficial dólar a códoba </t>
  </si>
  <si>
    <t xml:space="preserve">TABLA DE COSTOS </t>
  </si>
  <si>
    <t>Producto</t>
  </si>
  <si>
    <t>Peso del producto en Kg</t>
  </si>
  <si>
    <t>Peso Unitario (libras)</t>
  </si>
  <si>
    <t>Peso total en Kg</t>
  </si>
  <si>
    <t>Peso total (libras)</t>
  </si>
  <si>
    <t>Cantidad</t>
  </si>
  <si>
    <t>Costo Unitario ($)</t>
  </si>
  <si>
    <t>Costo Total</t>
  </si>
  <si>
    <t xml:space="preserve">comisión sobre transacción </t>
  </si>
  <si>
    <t xml:space="preserve">costo de envío interno en china </t>
  </si>
  <si>
    <t xml:space="preserve">Costo total total al almacen </t>
  </si>
  <si>
    <t>Costo Envío China-USA</t>
  </si>
  <si>
    <t>Costo Envío  USA-NIC ($)</t>
  </si>
  <si>
    <t>Costo envío Total ($)</t>
  </si>
  <si>
    <t>Costo Total Lote ($)</t>
  </si>
  <si>
    <t>Costo Unitario NIC</t>
  </si>
  <si>
    <t>Precio de venta</t>
  </si>
  <si>
    <t>Ingreso total  por producto</t>
  </si>
  <si>
    <t>utilidad por producto</t>
  </si>
  <si>
    <t>margen sobre costros por producto</t>
  </si>
  <si>
    <t>margen sobre ventas por productos</t>
  </si>
  <si>
    <t>Links</t>
  </si>
  <si>
    <t>Link</t>
  </si>
  <si>
    <t>Total</t>
  </si>
  <si>
    <t>Concepto</t>
  </si>
  <si>
    <t>Monto (USD)</t>
  </si>
  <si>
    <t>Ingresos totales por ventas</t>
  </si>
  <si>
    <t>COSTOS x libra</t>
  </si>
  <si>
    <t>Cantidad (Dólares)</t>
  </si>
  <si>
    <t>Envío de productos  (USA-NIC)</t>
  </si>
  <si>
    <t>Costos de operación</t>
  </si>
  <si>
    <t>Envío de productos (CHN-USA)</t>
  </si>
  <si>
    <t>1. 4</t>
  </si>
  <si>
    <t>- Costo total de productos</t>
  </si>
  <si>
    <t>- Costo total de envío</t>
  </si>
  <si>
    <t>- Gastos de marketing/publicidad</t>
  </si>
  <si>
    <t>Costo total de la operación</t>
  </si>
  <si>
    <t>Utilidad bruta</t>
  </si>
  <si>
    <t xml:space="preserve">compression sockings 15-20mmHg </t>
  </si>
  <si>
    <t xml:space="preserve">beige </t>
  </si>
  <si>
    <t>black</t>
  </si>
  <si>
    <t>Utilidad neta</t>
  </si>
  <si>
    <t>s</t>
  </si>
  <si>
    <t>m</t>
  </si>
  <si>
    <t>Márgenes</t>
  </si>
  <si>
    <t>total</t>
  </si>
  <si>
    <t>- Margen bruto sobre ingresos (%)</t>
  </si>
  <si>
    <t>- Margen neto sobre ingresos (%)</t>
  </si>
  <si>
    <t>- Margen neto sobre costos totales (%)</t>
  </si>
  <si>
    <t>.</t>
  </si>
  <si>
    <t>Gym bags</t>
  </si>
  <si>
    <t>Enterizo</t>
  </si>
  <si>
    <t>Cinturon Gym</t>
  </si>
  <si>
    <t>Manga deportiva</t>
  </si>
  <si>
    <t>Pantalones Gym Dama v2</t>
  </si>
  <si>
    <t>Shorts Gymshark</t>
  </si>
  <si>
    <t>Tops deportivos</t>
  </si>
  <si>
    <t>Straps</t>
  </si>
  <si>
    <t>Camisas de compresion</t>
  </si>
  <si>
    <t xml:space="preserve"> Gastos operativos</t>
  </si>
  <si>
    <t>gastos operativos</t>
  </si>
  <si>
    <t>valor</t>
  </si>
  <si>
    <t>deuda</t>
  </si>
  <si>
    <t>gasolina</t>
  </si>
  <si>
    <t>otros</t>
  </si>
  <si>
    <t>TABLA DE COSTOS Febrero</t>
  </si>
  <si>
    <t>si</t>
  </si>
  <si>
    <t>Chaleco de lana</t>
  </si>
  <si>
    <t>Camisas de compresion manga larga</t>
  </si>
  <si>
    <t>Camisas de compresion sin mangas</t>
  </si>
  <si>
    <t>Soporte de laptop</t>
  </si>
  <si>
    <t>Si</t>
  </si>
  <si>
    <t>Mochila antirobo</t>
  </si>
  <si>
    <t>Jogger estilo 1</t>
  </si>
  <si>
    <t>-</t>
  </si>
  <si>
    <t>Origen</t>
  </si>
  <si>
    <t>Camisa de compresion</t>
  </si>
  <si>
    <t>link</t>
  </si>
  <si>
    <t>Flare leggins</t>
  </si>
  <si>
    <t>Mono deportivo</t>
  </si>
  <si>
    <t>Camisa de compresion sin manga</t>
  </si>
  <si>
    <t>Shorts YOUNGLA</t>
  </si>
  <si>
    <t>enterizo</t>
  </si>
  <si>
    <t>Headphones</t>
  </si>
  <si>
    <t>shorts falda mujer</t>
  </si>
  <si>
    <t>Camisa de compresion manga larga</t>
  </si>
  <si>
    <t>Chalecos</t>
  </si>
  <si>
    <t>Espacio libre (De esto hablamos mañana)</t>
  </si>
  <si>
    <t>Mouse Ergonomico</t>
  </si>
  <si>
    <t>Alibaba</t>
  </si>
  <si>
    <t>Audifonos de natacion</t>
  </si>
  <si>
    <t>https://detail.1688.com/offer/891194971739.html?offerId=891194971739&amp;hotSaleSkuId=5906548623983&amp;spm=a260k.home2025.recommendpart.32</t>
  </si>
  <si>
    <t>Bandas de ejercicio</t>
  </si>
  <si>
    <t>smartwatch</t>
  </si>
  <si>
    <t>Pestañas magneticas</t>
  </si>
  <si>
    <t>Linkk</t>
  </si>
  <si>
    <t>aspiradora</t>
  </si>
  <si>
    <t>Inflador Portatil</t>
  </si>
  <si>
    <t>https://www.alibaba.com/product-detail/New-32L-min-Tire-Inflator-Portable_1601636634534.html?spm=a2700.prosearch.normal_offer.d_image.1a7867afpGVX9R&amp;priceId=ba374b1e14ca487caf51aec51ae4ee9e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</si>
</sst>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4.0"/>
      <color theme="1"/>
      <name val="Arial Black"/>
    </font>
    <font>
      <sz val="11.0"/>
      <color theme="1"/>
      <name val="Calibri"/>
    </font>
    <font>
      <sz val="11.0"/>
      <color theme="1"/>
      <name val="Arial Black"/>
    </font>
    <font/>
    <font>
      <b/>
      <sz val="11.0"/>
      <color theme="1"/>
      <name val="Calibri"/>
    </font>
    <font>
      <u/>
      <sz val="11.0"/>
      <color theme="10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5733"/>
        <bgColor rgb="FFFF5733"/>
      </patternFill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A8D08D"/>
        <bgColor rgb="FFA8D08D"/>
      </patternFill>
    </fill>
    <fill>
      <patternFill patternType="solid">
        <fgColor rgb="FFFF6647"/>
        <bgColor rgb="FFFF6647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7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C8C8C8"/>
      </left>
      <right style="thin">
        <color rgb="FFC8C8C8"/>
      </right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/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2" fontId="2" numFmtId="0" xfId="0" applyAlignment="1" applyBorder="1" applyFill="1" applyFont="1">
      <alignment horizontal="left" shrinkToFit="0" vertical="top" wrapText="1"/>
    </xf>
    <xf borderId="2" fillId="3" fontId="3" numFmtId="0" xfId="0" applyAlignment="1" applyBorder="1" applyFill="1" applyFont="1">
      <alignment horizontal="left" vertical="center"/>
    </xf>
    <xf borderId="3" fillId="0" fontId="4" numFmtId="0" xfId="0" applyBorder="1" applyFont="1"/>
    <xf borderId="0" fillId="0" fontId="2" numFmtId="0" xfId="0" applyAlignment="1" applyFont="1">
      <alignment horizontal="left" vertical="center"/>
    </xf>
    <xf borderId="1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vertical="center"/>
    </xf>
    <xf borderId="0" fillId="0" fontId="2" numFmtId="2" xfId="0" applyAlignment="1" applyFont="1" applyNumberFormat="1">
      <alignment horizontal="left" vertical="center"/>
    </xf>
    <xf borderId="0" fillId="0" fontId="2" numFmtId="1" xfId="0" applyAlignment="1" applyFont="1" applyNumberFormat="1">
      <alignment horizontal="left" vertical="center"/>
    </xf>
    <xf borderId="0" fillId="0" fontId="2" numFmtId="9" xfId="0" applyAlignment="1" applyFont="1" applyNumberFormat="1">
      <alignment horizontal="left" vertical="center"/>
    </xf>
    <xf borderId="0" fillId="0" fontId="6" numFmtId="0" xfId="0" applyAlignment="1" applyFont="1">
      <alignment horizontal="left" vertical="center"/>
    </xf>
    <xf borderId="1" fillId="5" fontId="7" numFmtId="0" xfId="0" applyAlignment="1" applyBorder="1" applyFont="1">
      <alignment horizontal="left" vertical="center"/>
    </xf>
    <xf borderId="0" fillId="0" fontId="7" numFmtId="2" xfId="0" applyAlignment="1" applyFont="1" applyNumberFormat="1">
      <alignment horizontal="left" vertical="center"/>
    </xf>
    <xf borderId="0" fillId="0" fontId="7" numFmtId="1" xfId="0" applyAlignment="1" applyFont="1" applyNumberFormat="1">
      <alignment horizontal="left" vertical="center"/>
    </xf>
    <xf borderId="1" fillId="6" fontId="8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2" xfId="0" applyAlignment="1" applyFont="1" applyNumberFormat="1">
      <alignment horizontal="left" vertical="center"/>
    </xf>
    <xf borderId="5" fillId="7" fontId="2" numFmtId="0" xfId="0" applyAlignment="1" applyBorder="1" applyFill="1" applyFont="1">
      <alignment horizontal="left" vertical="center"/>
    </xf>
    <xf borderId="0" fillId="0" fontId="5" numFmtId="2" xfId="0" applyAlignment="1" applyFont="1" applyNumberFormat="1">
      <alignment horizontal="left" vertical="center"/>
    </xf>
    <xf borderId="5" fillId="7" fontId="2" numFmtId="2" xfId="0" applyAlignment="1" applyBorder="1" applyFont="1" applyNumberFormat="1">
      <alignment horizontal="left" vertical="center"/>
    </xf>
    <xf borderId="5" fillId="6" fontId="2" numFmtId="0" xfId="0" applyAlignment="1" applyBorder="1" applyFont="1">
      <alignment horizontal="left" vertical="center"/>
    </xf>
    <xf borderId="6" fillId="6" fontId="2" numFmtId="0" xfId="0" applyAlignment="1" applyBorder="1" applyFont="1">
      <alignment horizontal="left" vertical="center"/>
    </xf>
    <xf borderId="0" fillId="0" fontId="9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8" fontId="2" numFmtId="4" xfId="0" applyAlignment="1" applyBorder="1" applyFill="1" applyFont="1" applyNumberFormat="1">
      <alignment shrinkToFit="0" vertical="center" wrapText="1"/>
    </xf>
    <xf borderId="1" fillId="4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top" wrapText="1"/>
    </xf>
    <xf borderId="1" fillId="6" fontId="2" numFmtId="2" xfId="0" applyAlignment="1" applyBorder="1" applyFont="1" applyNumberFormat="1">
      <alignment shrinkToFit="0" vertical="center" wrapText="1"/>
    </xf>
    <xf borderId="0" fillId="0" fontId="2" numFmtId="2" xfId="0" applyAlignment="1" applyFont="1" applyNumberFormat="1">
      <alignment shrinkToFit="0" vertical="center" wrapText="1"/>
    </xf>
    <xf borderId="1" fillId="9" fontId="2" numFmtId="4" xfId="0" applyAlignment="1" applyBorder="1" applyFill="1" applyFont="1" applyNumberFormat="1">
      <alignment shrinkToFit="0" vertical="center" wrapText="1"/>
    </xf>
    <xf borderId="0" fillId="0" fontId="2" numFmtId="4" xfId="0" applyAlignment="1" applyFont="1" applyNumberForma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Font="1"/>
    <xf borderId="0" fillId="0" fontId="2" numFmtId="10" xfId="0" applyAlignment="1" applyFont="1" applyNumberFormat="1">
      <alignment shrinkToFit="0" vertical="center" wrapText="1"/>
    </xf>
    <xf borderId="0" fillId="0" fontId="2" numFmtId="10" xfId="0" applyAlignment="1" applyFont="1" applyNumberFormat="1">
      <alignment shrinkToFit="0" vertical="center" wrapText="1"/>
    </xf>
    <xf borderId="1" fillId="6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10" numFmtId="0" xfId="0" applyFont="1"/>
    <xf borderId="0" fillId="0" fontId="5" numFmtId="0" xfId="0" applyAlignment="1" applyFont="1">
      <alignment horizontal="center" shrinkToFit="0" vertical="center" wrapText="1"/>
    </xf>
    <xf borderId="1" fillId="6" fontId="5" numFmtId="0" xfId="0" applyAlignment="1" applyBorder="1" applyFont="1">
      <alignment horizontal="left" vertical="center"/>
    </xf>
    <xf borderId="0" fillId="0" fontId="2" numFmtId="2" xfId="0" applyAlignment="1" applyFont="1" applyNumberFormat="1">
      <alignment horizontal="left" readingOrder="0" vertical="center"/>
    </xf>
    <xf borderId="0" fillId="0" fontId="2" numFmtId="1" xfId="0" applyAlignment="1" applyFont="1" applyNumberFormat="1">
      <alignment horizontal="left" readingOrder="0" vertical="center"/>
    </xf>
    <xf borderId="0" fillId="0" fontId="11" numFmtId="0" xfId="0" applyAlignment="1" applyFont="1">
      <alignment horizontal="left" vertical="center"/>
    </xf>
    <xf borderId="0" fillId="0" fontId="2" numFmtId="0" xfId="0" applyAlignment="1" applyFont="1">
      <alignment horizontal="left" readingOrder="0" shrinkToFit="0" vertical="top" wrapText="1"/>
    </xf>
    <xf borderId="0" fillId="0" fontId="2" numFmtId="2" xfId="0" applyAlignment="1" applyFont="1" applyNumberFormat="1">
      <alignment readingOrder="0" shrinkToFit="0" vertical="center" wrapText="1"/>
    </xf>
    <xf borderId="1" fillId="10" fontId="5" numFmtId="0" xfId="0" applyAlignment="1" applyBorder="1" applyFill="1" applyFont="1">
      <alignment horizontal="left" vertical="center"/>
    </xf>
    <xf borderId="1" fillId="11" fontId="5" numFmtId="0" xfId="0" applyAlignment="1" applyBorder="1" applyFill="1" applyFont="1">
      <alignment horizontal="left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DADADA"/>
          <bgColor rgb="FFDADADA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1">
    <tableStyle count="3" pivot="0" name="Calculadora base-style">
      <tableStyleElement dxfId="1" type="headerRow"/>
      <tableStyleElement dxfId="2" type="firstRowStripe"/>
      <tableStyleElement dxfId="1" type="secondRowStripe"/>
    </tableStyle>
    <tableStyle count="3" pivot="0" name="Calculadora base-style 2">
      <tableStyleElement dxfId="3" type="headerRow"/>
      <tableStyleElement dxfId="4" type="firstRowStripe"/>
      <tableStyleElement dxfId="5" type="secondRowStripe"/>
    </tableStyle>
    <tableStyle count="3" pivot="0" name="Calculadora base-style 3">
      <tableStyleElement dxfId="1" type="headerRow"/>
      <tableStyleElement dxfId="2" type="firstRowStripe"/>
      <tableStyleElement dxfId="1" type="secondRowStripe"/>
    </tableStyle>
    <tableStyle count="3" pivot="0" name="Calculadora base-style 4">
      <tableStyleElement dxfId="3" type="headerRow"/>
      <tableStyleElement dxfId="4" type="firstRowStripe"/>
      <tableStyleElement dxfId="5" type="secondRowStripe"/>
    </tableStyle>
    <tableStyle count="3" pivot="0" name="Enero-style">
      <tableStyleElement dxfId="1" type="headerRow"/>
      <tableStyleElement dxfId="2" type="firstRowStripe"/>
      <tableStyleElement dxfId="1" type="secondRowStripe"/>
    </tableStyle>
    <tableStyle count="3" pivot="0" name="Enero-style 2">
      <tableStyleElement dxfId="3" type="headerRow"/>
      <tableStyleElement dxfId="4" type="firstRowStripe"/>
      <tableStyleElement dxfId="5" type="secondRowStripe"/>
    </tableStyle>
    <tableStyle count="3" pivot="0" name="Enero-style 3">
      <tableStyleElement dxfId="1" type="headerRow"/>
      <tableStyleElement dxfId="2" type="firstRowStripe"/>
      <tableStyleElement dxfId="1" type="secondRowStripe"/>
    </tableStyle>
    <tableStyle count="3" pivot="0" name="Enero-style 4">
      <tableStyleElement dxfId="3" type="headerRow"/>
      <tableStyleElement dxfId="4" type="firstRowStripe"/>
      <tableStyleElement dxfId="5" type="secondRowStripe"/>
    </tableStyle>
    <tableStyle count="3" pivot="0" name="Febrero-style">
      <tableStyleElement dxfId="1" type="headerRow"/>
      <tableStyleElement dxfId="2" type="firstRowStripe"/>
      <tableStyleElement dxfId="1" type="secondRowStripe"/>
    </tableStyle>
    <tableStyle count="3" pivot="0" name="Febrero-style 2">
      <tableStyleElement dxfId="3" type="headerRow"/>
      <tableStyleElement dxfId="4" type="firstRowStripe"/>
      <tableStyleElement dxfId="5" type="secondRowStripe"/>
    </tableStyle>
    <tableStyle count="3" pivot="0" name="Febrero-style 3">
      <tableStyleElement dxfId="1" type="headerRow"/>
      <tableStyleElement dxfId="2" type="firstRowStripe"/>
      <tableStyleElement dxfId="1" type="secondRowStripe"/>
    </tableStyle>
    <tableStyle count="3" pivot="0" name="Abril-Mayo-style">
      <tableStyleElement dxfId="1" type="headerRow"/>
      <tableStyleElement dxfId="2" type="firstRowStripe"/>
      <tableStyleElement dxfId="1" type="secondRowStripe"/>
    </tableStyle>
    <tableStyle count="3" pivot="0" name="Abril-Mayo-style 2">
      <tableStyleElement dxfId="3" type="headerRow"/>
      <tableStyleElement dxfId="4" type="firstRowStripe"/>
      <tableStyleElement dxfId="5" type="secondRowStripe"/>
    </tableStyle>
    <tableStyle count="3" pivot="0" name="Abril-Mayo-style 3">
      <tableStyleElement dxfId="1" type="headerRow"/>
      <tableStyleElement dxfId="2" type="firstRowStripe"/>
      <tableStyleElement dxfId="1" type="secondRowStripe"/>
    </tableStyle>
    <tableStyle count="3" pivot="0" name="Junio-Julio-style">
      <tableStyleElement dxfId="1" type="headerRow"/>
      <tableStyleElement dxfId="2" type="firstRowStripe"/>
      <tableStyleElement dxfId="1" type="secondRowStripe"/>
    </tableStyle>
    <tableStyle count="3" pivot="0" name="Junio-Julio-style 2">
      <tableStyleElement dxfId="3" type="headerRow"/>
      <tableStyleElement dxfId="4" type="firstRowStripe"/>
      <tableStyleElement dxfId="5" type="secondRowStripe"/>
    </tableStyle>
    <tableStyle count="3" pivot="0" name="Junio-Julio-style 3">
      <tableStyleElement dxfId="1" type="headerRow"/>
      <tableStyleElement dxfId="2" type="firstRowStripe"/>
      <tableStyleElement dxfId="1" type="secondRowStripe"/>
    </tableStyle>
    <tableStyle count="3" pivot="0" name="Posible inversion-style">
      <tableStyleElement dxfId="1" type="headerRow"/>
      <tableStyleElement dxfId="2" type="firstRowStripe"/>
      <tableStyleElement dxfId="1" type="secondRowStripe"/>
    </tableStyle>
    <tableStyle count="3" pivot="0" name="Posible inversion-style 2">
      <tableStyleElement dxfId="3" type="headerRow"/>
      <tableStyleElement dxfId="4" type="firstRowStripe"/>
      <tableStyleElement dxfId="5" type="secondRowStripe"/>
    </tableStyle>
    <tableStyle count="3" pivot="0" name="Posible inversion-style 3">
      <tableStyleElement dxfId="1" type="headerRow"/>
      <tableStyleElement dxfId="2" type="firstRowStripe"/>
      <tableStyleElement dxfId="1" type="secondRowStripe"/>
    </tableStyle>
    <tableStyle count="3" pivot="0" name="Posible inversion-style 4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</xdr:row>
      <xdr:rowOff>133350</xdr:rowOff>
    </xdr:from>
    <xdr:ext cx="1885950" cy="523875"/>
    <xdr:sp>
      <xdr:nvSpPr>
        <xdr:cNvPr id="3" name="Shape 3"/>
        <xdr:cNvSpPr txBox="1"/>
      </xdr:nvSpPr>
      <xdr:spPr>
        <a:xfrm>
          <a:off x="4407108" y="3522825"/>
          <a:ext cx="1877785" cy="514350"/>
        </a:xfrm>
        <a:prstGeom prst="rect">
          <a:avLst/>
        </a:prstGeom>
        <a:solidFill>
          <a:srgbClr val="FFD966">
            <a:alpha val="70196"/>
          </a:srgbClr>
        </a:solidFill>
        <a:ln>
          <a:noFill/>
        </a:ln>
        <a:effectLst>
          <a:outerShdw blurRad="50800" rotWithShape="0" algn="t" dir="5400000" dist="38100">
            <a:srgbClr val="000000">
              <a:alpha val="58823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La</a:t>
          </a: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 Comarca </a:t>
          </a:r>
          <a:endParaRPr sz="2000">
            <a:latin typeface="Arial Black"/>
            <a:ea typeface="Arial Black"/>
            <a:cs typeface="Arial Black"/>
            <a:sym typeface="Arial Black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</xdr:row>
      <xdr:rowOff>133350</xdr:rowOff>
    </xdr:from>
    <xdr:ext cx="1885950" cy="523875"/>
    <xdr:sp>
      <xdr:nvSpPr>
        <xdr:cNvPr id="4" name="Shape 4"/>
        <xdr:cNvSpPr txBox="1"/>
      </xdr:nvSpPr>
      <xdr:spPr>
        <a:xfrm>
          <a:off x="4407108" y="3522825"/>
          <a:ext cx="1877785" cy="514350"/>
        </a:xfrm>
        <a:prstGeom prst="rect">
          <a:avLst/>
        </a:prstGeom>
        <a:solidFill>
          <a:srgbClr val="FFD966">
            <a:alpha val="70196"/>
          </a:srgbClr>
        </a:solidFill>
        <a:ln>
          <a:noFill/>
        </a:ln>
        <a:effectLst>
          <a:outerShdw blurRad="50800" rotWithShape="0" algn="t" dir="5400000" dist="38100">
            <a:srgbClr val="000000">
              <a:alpha val="58823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La</a:t>
          </a: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 Comarca </a:t>
          </a:r>
          <a:endParaRPr sz="2000">
            <a:latin typeface="Arial Black"/>
            <a:ea typeface="Arial Black"/>
            <a:cs typeface="Arial Black"/>
            <a:sym typeface="Arial Black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790575</xdr:colOff>
      <xdr:row>2</xdr:row>
      <xdr:rowOff>133350</xdr:rowOff>
    </xdr:from>
    <xdr:ext cx="1885950" cy="523875"/>
    <xdr:sp>
      <xdr:nvSpPr>
        <xdr:cNvPr id="5" name="Shape 5"/>
        <xdr:cNvSpPr txBox="1"/>
      </xdr:nvSpPr>
      <xdr:spPr>
        <a:xfrm>
          <a:off x="4407108" y="3522825"/>
          <a:ext cx="1877785" cy="514350"/>
        </a:xfrm>
        <a:prstGeom prst="rect">
          <a:avLst/>
        </a:prstGeom>
        <a:solidFill>
          <a:srgbClr val="FFD966">
            <a:alpha val="70196"/>
          </a:srgbClr>
        </a:solidFill>
        <a:ln>
          <a:noFill/>
        </a:ln>
        <a:effectLst>
          <a:outerShdw blurRad="50800" rotWithShape="0" algn="t" dir="5400000" dist="38100">
            <a:srgbClr val="000000">
              <a:alpha val="58823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La</a:t>
          </a: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 Comarca </a:t>
          </a:r>
          <a:endParaRPr sz="2000">
            <a:latin typeface="Arial Black"/>
            <a:ea typeface="Arial Black"/>
            <a:cs typeface="Arial Black"/>
            <a:sym typeface="Arial Black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</xdr:row>
      <xdr:rowOff>133350</xdr:rowOff>
    </xdr:from>
    <xdr:ext cx="1885950" cy="523875"/>
    <xdr:sp>
      <xdr:nvSpPr>
        <xdr:cNvPr id="6" name="Shape 6"/>
        <xdr:cNvSpPr txBox="1"/>
      </xdr:nvSpPr>
      <xdr:spPr>
        <a:xfrm>
          <a:off x="4407108" y="3522825"/>
          <a:ext cx="1877785" cy="514350"/>
        </a:xfrm>
        <a:prstGeom prst="rect">
          <a:avLst/>
        </a:prstGeom>
        <a:solidFill>
          <a:srgbClr val="FFD966">
            <a:alpha val="70196"/>
          </a:srgbClr>
        </a:solidFill>
        <a:ln>
          <a:noFill/>
        </a:ln>
        <a:effectLst>
          <a:outerShdw blurRad="50800" rotWithShape="0" algn="t" dir="5400000" dist="38100">
            <a:srgbClr val="000000">
              <a:alpha val="58823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La</a:t>
          </a: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 Comarca </a:t>
          </a:r>
          <a:endParaRPr sz="2000">
            <a:latin typeface="Arial Black"/>
            <a:ea typeface="Arial Black"/>
            <a:cs typeface="Arial Black"/>
            <a:sym typeface="Arial Black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</xdr:row>
      <xdr:rowOff>133350</xdr:rowOff>
    </xdr:from>
    <xdr:ext cx="1885950" cy="523875"/>
    <xdr:sp>
      <xdr:nvSpPr>
        <xdr:cNvPr id="7" name="Shape 7"/>
        <xdr:cNvSpPr txBox="1"/>
      </xdr:nvSpPr>
      <xdr:spPr>
        <a:xfrm>
          <a:off x="4407108" y="3522825"/>
          <a:ext cx="1877785" cy="514350"/>
        </a:xfrm>
        <a:prstGeom prst="rect">
          <a:avLst/>
        </a:prstGeom>
        <a:solidFill>
          <a:srgbClr val="FFD966">
            <a:alpha val="70196"/>
          </a:srgbClr>
        </a:solidFill>
        <a:ln>
          <a:noFill/>
        </a:ln>
        <a:effectLst>
          <a:outerShdw blurRad="50800" rotWithShape="0" algn="t" dir="5400000" dist="38100">
            <a:srgbClr val="000000">
              <a:alpha val="58823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La</a:t>
          </a: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 Comarca </a:t>
          </a:r>
          <a:endParaRPr sz="2000">
            <a:latin typeface="Arial Black"/>
            <a:ea typeface="Arial Black"/>
            <a:cs typeface="Arial Black"/>
            <a:sym typeface="Arial Black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</xdr:row>
      <xdr:rowOff>133350</xdr:rowOff>
    </xdr:from>
    <xdr:ext cx="1885950" cy="523875"/>
    <xdr:sp>
      <xdr:nvSpPr>
        <xdr:cNvPr id="8" name="Shape 8"/>
        <xdr:cNvSpPr txBox="1"/>
      </xdr:nvSpPr>
      <xdr:spPr>
        <a:xfrm>
          <a:off x="4407108" y="3522825"/>
          <a:ext cx="1877785" cy="514350"/>
        </a:xfrm>
        <a:prstGeom prst="rect">
          <a:avLst/>
        </a:prstGeom>
        <a:solidFill>
          <a:srgbClr val="FFD966">
            <a:alpha val="70196"/>
          </a:srgbClr>
        </a:solidFill>
        <a:ln>
          <a:noFill/>
        </a:ln>
        <a:effectLst>
          <a:outerShdw blurRad="50800" rotWithShape="0" algn="t" dir="5400000" dist="38100">
            <a:srgbClr val="000000">
              <a:alpha val="58823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La</a:t>
          </a:r>
          <a:r>
            <a:rPr lang="en-US" sz="2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 Comarca </a:t>
          </a:r>
          <a:endParaRPr sz="2000">
            <a:latin typeface="Arial Black"/>
            <a:ea typeface="Arial Black"/>
            <a:cs typeface="Arial Black"/>
            <a:sym typeface="Arial Black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7:V20" displayName="Table_1" name="Table_1" id="1">
  <tableColumns count="22">
    <tableColumn name="Producto" id="1"/>
    <tableColumn name="Peso del producto en Kg" id="2"/>
    <tableColumn name="Peso Unitario (libras)" id="3"/>
    <tableColumn name="Peso total en Kg" id="4"/>
    <tableColumn name="Peso total (libras)" id="5"/>
    <tableColumn name="Cantidad" id="6"/>
    <tableColumn name="Costo Unitario ($)" id="7"/>
    <tableColumn name="Costo Total" id="8"/>
    <tableColumn name="comisión sobre transacción " id="9"/>
    <tableColumn name="costo de envío interno en china " id="10"/>
    <tableColumn name="Costo total total al almacen " id="11"/>
    <tableColumn name="Costo Envío China-USA" id="12"/>
    <tableColumn name="Costo Envío  USA-NIC ($)" id="13"/>
    <tableColumn name="Costo envío Total ($)" id="14"/>
    <tableColumn name="Costo Total Lote ($)" id="15"/>
    <tableColumn name="Costo Unitario NIC" id="16"/>
    <tableColumn name="Precio de venta" id="17"/>
    <tableColumn name="Ingreso total  por producto" id="18"/>
    <tableColumn name="utilidad por producto" id="19"/>
    <tableColumn name="margen sobre costros por producto" id="20"/>
    <tableColumn name="margen sobre ventas por productos" id="21"/>
    <tableColumn name="Links" id="22"/>
  </tableColumns>
  <tableStyleInfo name="Calculadora base-style" showColumnStripes="0" showFirstColumn="1" showLastColumn="1" showRowStripes="1"/>
</table>
</file>

<file path=xl/tables/table2.xml><?xml version="1.0" encoding="utf-8"?>
<table xmlns="http://schemas.openxmlformats.org/spreadsheetml/2006/main" ref="A29:B44" displayName="Table_2" name="Table_2" id="2">
  <tableColumns count="2">
    <tableColumn name="Concepto" id="1"/>
    <tableColumn name="Monto (USD)" id="2"/>
  </tableColumns>
  <tableStyleInfo name="Calculadora base-style 2" showColumnStripes="0" showFirstColumn="1" showLastColumn="1" showRowStripes="1"/>
</table>
</file>

<file path=xl/tables/table3.xml><?xml version="1.0" encoding="utf-8"?>
<table xmlns="http://schemas.openxmlformats.org/spreadsheetml/2006/main" ref="D30:E32" displayName="Table_3" name="Table_3" id="3">
  <tableColumns count="2">
    <tableColumn name="COSTOS x libra" id="1"/>
    <tableColumn name="Cantidad (Dólares)" id="2"/>
  </tableColumns>
  <tableStyleInfo name="Calculadora base-style 3" showColumnStripes="0" showFirstColumn="1" showLastColumn="1" showRowStripes="1"/>
</table>
</file>

<file path=xl/tables/table4.xml><?xml version="1.0" encoding="utf-8"?>
<table xmlns="http://schemas.openxmlformats.org/spreadsheetml/2006/main" ref="H38:J41" displayName="Table_4" name="Table_4" id="4">
  <tableColumns count="3">
    <tableColumn name="compression sockings 15-20mmHg " id="1"/>
    <tableColumn name="beige " id="2"/>
    <tableColumn name="black" id="3"/>
  </tableColumns>
  <tableStyleInfo name="Calculadora base-style 4" showColumnStripes="0" showFirstColumn="1" showLastColumn="1" showRowStripes="1"/>
</table>
</file>

<file path=xl/tables/table5.xml><?xml version="1.0" encoding="utf-8"?>
<table xmlns="http://schemas.openxmlformats.org/spreadsheetml/2006/main" ref="A7:V20" displayName="Table_5" name="Table_5" id="5">
  <tableColumns count="22">
    <tableColumn name="Producto" id="1"/>
    <tableColumn name="Peso del producto en Kg" id="2"/>
    <tableColumn name="Peso Unitario (libras)" id="3"/>
    <tableColumn name="Peso total en Kg" id="4"/>
    <tableColumn name="Peso total (libras)" id="5"/>
    <tableColumn name="Cantidad" id="6"/>
    <tableColumn name="Costo Unitario ($)" id="7"/>
    <tableColumn name="Costo Total" id="8"/>
    <tableColumn name="comisión sobre transacción " id="9"/>
    <tableColumn name="costo de envío interno en china " id="10"/>
    <tableColumn name="Costo total total al almacen " id="11"/>
    <tableColumn name="Costo Envío China-USA" id="12"/>
    <tableColumn name="Costo Envío  USA-NIC ($)" id="13"/>
    <tableColumn name="Costo envío Total ($)" id="14"/>
    <tableColumn name="Costo Total Lote ($)" id="15"/>
    <tableColumn name="Costo Unitario NIC" id="16"/>
    <tableColumn name="Precio de venta" id="17"/>
    <tableColumn name="Ingreso total  por producto" id="18"/>
    <tableColumn name="utilidad por producto" id="19"/>
    <tableColumn name="margen sobre costros por producto" id="20"/>
    <tableColumn name="margen sobre ventas por productos" id="21"/>
    <tableColumn name="Links" id="22"/>
  </tableColumns>
  <tableStyleInfo name="Enero-style" showColumnStripes="0" showFirstColumn="1" showLastColumn="1" showRowStripes="1"/>
</table>
</file>

<file path=xl/tables/table6.xml><?xml version="1.0" encoding="utf-8"?>
<table xmlns="http://schemas.openxmlformats.org/spreadsheetml/2006/main" ref="A29:B44" displayName="Table_6" name="Table_6" id="6">
  <tableColumns count="2">
    <tableColumn name="Concepto" id="1"/>
    <tableColumn name="Monto (USD)" id="2"/>
  </tableColumns>
  <tableStyleInfo name="Enero-style 2" showColumnStripes="0" showFirstColumn="1" showLastColumn="1" showRowStripes="1"/>
</table>
</file>

<file path=xl/tables/table7.xml><?xml version="1.0" encoding="utf-8"?>
<table xmlns="http://schemas.openxmlformats.org/spreadsheetml/2006/main" ref="D30:E32" displayName="Table_7" name="Table_7" id="7">
  <tableColumns count="2">
    <tableColumn name="COSTOS x libra" id="1"/>
    <tableColumn name="Cantidad (Dólares)" id="2"/>
  </tableColumns>
  <tableStyleInfo name="Enero-style 3" showColumnStripes="0" showFirstColumn="1" showLastColumn="1" showRowStripes="1"/>
</table>
</file>

<file path=xl/tables/table8.xml><?xml version="1.0" encoding="utf-8"?>
<table xmlns="http://schemas.openxmlformats.org/spreadsheetml/2006/main" ref="H38:I41" displayName="Table_8" name="Table_8" id="8">
  <tableColumns count="2">
    <tableColumn name="gastos operativos" id="1"/>
    <tableColumn name="valor" id="2"/>
  </tableColumns>
  <tableStyleInfo name="Enero-style 4" showColumnStripes="0" showFirstColumn="1" showLastColumn="1" showRowStripes="1"/>
</table>
</file>

<file path=xl/tables/table9.xml><?xml version="1.0" encoding="utf-8"?>
<table xmlns="http://schemas.openxmlformats.org/spreadsheetml/2006/main" ref="B8:W21" displayName="Table_9" name="Table_9" id="9">
  <tableColumns count="22">
    <tableColumn name="Producto" id="1"/>
    <tableColumn name="Peso del producto en Kg" id="2"/>
    <tableColumn name="Peso Unitario (libras)" id="3"/>
    <tableColumn name="Peso total en Kg" id="4"/>
    <tableColumn name="Peso total (libras)" id="5"/>
    <tableColumn name="Cantidad" id="6"/>
    <tableColumn name="Costo Unitario ($)" id="7"/>
    <tableColumn name="Costo Total" id="8"/>
    <tableColumn name="comisión sobre transacción " id="9"/>
    <tableColumn name="costo de envío interno en china " id="10"/>
    <tableColumn name="Costo total total al almacen " id="11"/>
    <tableColumn name="Costo Envío China-USA" id="12"/>
    <tableColumn name="Costo Envío  USA-NIC ($)" id="13"/>
    <tableColumn name="Costo envío Total ($)" id="14"/>
    <tableColumn name="Costo Total Lote ($)" id="15"/>
    <tableColumn name="Costo Unitario NIC" id="16"/>
    <tableColumn name="Precio de venta" id="17"/>
    <tableColumn name="Ingreso total  por producto" id="18"/>
    <tableColumn name="utilidad por producto" id="19"/>
    <tableColumn name="margen sobre costros por producto" id="20"/>
    <tableColumn name="margen sobre ventas por productos" id="21"/>
    <tableColumn name="Links" id="22"/>
  </tableColumns>
  <tableStyleInfo name="Febrero-style" showColumnStripes="0" showFirstColumn="1" showLastColumn="1" showRowStripes="1"/>
</table>
</file>

<file path=xl/tables/table10.xml><?xml version="1.0" encoding="utf-8"?>
<table xmlns="http://schemas.openxmlformats.org/spreadsheetml/2006/main" ref="A29:B44" displayName="Table_10" name="Table_10" id="10">
  <tableColumns count="2">
    <tableColumn name="Concepto" id="1"/>
    <tableColumn name="Monto (USD)" id="2"/>
  </tableColumns>
  <tableStyleInfo name="Febrero-style 2" showColumnStripes="0" showFirstColumn="1" showLastColumn="1" showRowStripes="1"/>
</table>
</file>

<file path=xl/tables/table11.xml><?xml version="1.0" encoding="utf-8"?>
<table xmlns="http://schemas.openxmlformats.org/spreadsheetml/2006/main" ref="D30:E32" displayName="Table_11" name="Table_11" id="11">
  <tableColumns count="2">
    <tableColumn name="COSTOS x libra" id="1"/>
    <tableColumn name="Cantidad (Dólares)" id="2"/>
  </tableColumns>
  <tableStyleInfo name="Febrero-style 3" showColumnStripes="0" showFirstColumn="1" showLastColumn="1" showRowStripes="1"/>
</table>
</file>

<file path=xl/tables/table12.xml><?xml version="1.0" encoding="utf-8"?>
<table xmlns="http://schemas.openxmlformats.org/spreadsheetml/2006/main" ref="A7:W18" displayName="Table_12" name="Table_12" id="12">
  <tableColumns count="23">
    <tableColumn name="Producto" id="1"/>
    <tableColumn name="Peso del producto en Kg" id="2"/>
    <tableColumn name="Peso Unitario (libras)" id="3"/>
    <tableColumn name="Peso total en Kg" id="4"/>
    <tableColumn name="Peso total (libras)" id="5"/>
    <tableColumn name="Cantidad" id="6"/>
    <tableColumn name="Costo Unitario ($)" id="7"/>
    <tableColumn name="Costo Total" id="8"/>
    <tableColumn name="comisión sobre transacción " id="9"/>
    <tableColumn name="costo de envío interno en china " id="10"/>
    <tableColumn name="Costo total total al almacen " id="11"/>
    <tableColumn name="Costo Envío China-USA" id="12"/>
    <tableColumn name="Costo Envío  USA-NIC ($)" id="13"/>
    <tableColumn name="Costo envío Total ($)" id="14"/>
    <tableColumn name="Costo Total Lote ($)" id="15"/>
    <tableColumn name="Costo Unitario NIC" id="16"/>
    <tableColumn name="Precio de venta" id="17"/>
    <tableColumn name="Ingreso total  por producto" id="18"/>
    <tableColumn name="utilidad por producto" id="19"/>
    <tableColumn name="margen sobre costros por producto" id="20"/>
    <tableColumn name="margen sobre ventas por productos" id="21"/>
    <tableColumn name="Links" id="22"/>
    <tableColumn name="Origen" id="23"/>
  </tableColumns>
  <tableStyleInfo name="Abril-Mayo-style" showColumnStripes="0" showFirstColumn="1" showLastColumn="1" showRowStripes="1"/>
</table>
</file>

<file path=xl/tables/table13.xml><?xml version="1.0" encoding="utf-8"?>
<table xmlns="http://schemas.openxmlformats.org/spreadsheetml/2006/main" ref="A27:B42" displayName="Table_13" name="Table_13" id="13">
  <tableColumns count="2">
    <tableColumn name="Concepto" id="1"/>
    <tableColumn name="Monto (USD)" id="2"/>
  </tableColumns>
  <tableStyleInfo name="Abril-Mayo-style 2" showColumnStripes="0" showFirstColumn="1" showLastColumn="1" showRowStripes="1"/>
</table>
</file>

<file path=xl/tables/table14.xml><?xml version="1.0" encoding="utf-8"?>
<table xmlns="http://schemas.openxmlformats.org/spreadsheetml/2006/main" ref="D28:E30" displayName="Table_14" name="Table_14" id="14">
  <tableColumns count="2">
    <tableColumn name="COSTOS x libra" id="1"/>
    <tableColumn name="Cantidad (Dólares)" id="2"/>
  </tableColumns>
  <tableStyleInfo name="Abril-Mayo-style 3" showColumnStripes="0" showFirstColumn="1" showLastColumn="1" showRowStripes="1"/>
</table>
</file>

<file path=xl/tables/table15.xml><?xml version="1.0" encoding="utf-8"?>
<table xmlns="http://schemas.openxmlformats.org/spreadsheetml/2006/main" ref="A7:W15" displayName="Table_15" name="Table_15" id="15">
  <tableColumns count="23">
    <tableColumn name="Producto" id="1"/>
    <tableColumn name="Peso del producto en Kg" id="2"/>
    <tableColumn name="Peso Unitario (libras)" id="3"/>
    <tableColumn name="Peso total en Kg" id="4"/>
    <tableColumn name="Peso total (libras)" id="5"/>
    <tableColumn name="Cantidad" id="6"/>
    <tableColumn name="Costo Unitario ($)" id="7"/>
    <tableColumn name="Costo Total" id="8"/>
    <tableColumn name="comisión sobre transacción " id="9"/>
    <tableColumn name="costo de envío interno en china " id="10"/>
    <tableColumn name="Costo total total al almacen " id="11"/>
    <tableColumn name="Costo Envío China-USA" id="12"/>
    <tableColumn name="Costo Envío  USA-NIC ($)" id="13"/>
    <tableColumn name="Costo envío Total ($)" id="14"/>
    <tableColumn name="Costo Total Lote ($)" id="15"/>
    <tableColumn name="Costo Unitario NIC" id="16"/>
    <tableColumn name="Precio de venta" id="17"/>
    <tableColumn name="Ingreso total  por producto" id="18"/>
    <tableColumn name="utilidad por producto" id="19"/>
    <tableColumn name="margen sobre costros por producto" id="20"/>
    <tableColumn name="margen sobre ventas por productos" id="21"/>
    <tableColumn name="Links" id="22"/>
    <tableColumn name="Origen" id="23"/>
  </tableColumns>
  <tableStyleInfo name="Junio-Julio-style" showColumnStripes="0" showFirstColumn="1" showLastColumn="1" showRowStripes="1"/>
</table>
</file>

<file path=xl/tables/table16.xml><?xml version="1.0" encoding="utf-8"?>
<table xmlns="http://schemas.openxmlformats.org/spreadsheetml/2006/main" ref="A24:B39" displayName="Table_16" name="Table_16" id="16">
  <tableColumns count="2">
    <tableColumn name="Concepto" id="1"/>
    <tableColumn name="Monto (USD)" id="2"/>
  </tableColumns>
  <tableStyleInfo name="Junio-Julio-style 2" showColumnStripes="0" showFirstColumn="1" showLastColumn="1" showRowStripes="1"/>
</table>
</file>

<file path=xl/tables/table17.xml><?xml version="1.0" encoding="utf-8"?>
<table xmlns="http://schemas.openxmlformats.org/spreadsheetml/2006/main" ref="D25:E27" displayName="Table_17" name="Table_17" id="17">
  <tableColumns count="2">
    <tableColumn name="COSTOS x libra" id="1"/>
    <tableColumn name="Cantidad (Dólares)" id="2"/>
  </tableColumns>
  <tableStyleInfo name="Junio-Julio-style 3" showColumnStripes="0" showFirstColumn="1" showLastColumn="1" showRowStripes="1"/>
</table>
</file>

<file path=xl/tables/table18.xml><?xml version="1.0" encoding="utf-8"?>
<table xmlns="http://schemas.openxmlformats.org/spreadsheetml/2006/main" ref="A7:W20" displayName="Table_18" name="Table_18" id="18">
  <tableColumns count="23">
    <tableColumn name="Producto" id="1"/>
    <tableColumn name="Peso del producto en Kg" id="2"/>
    <tableColumn name="Peso Unitario (libras)" id="3"/>
    <tableColumn name="Peso total en Kg" id="4"/>
    <tableColumn name="Peso total (libras)" id="5"/>
    <tableColumn name="Cantidad" id="6"/>
    <tableColumn name="Costo Unitario ($)" id="7"/>
    <tableColumn name="Costo Total" id="8"/>
    <tableColumn name="comisión sobre transacción " id="9"/>
    <tableColumn name="costo de envío interno en china " id="10"/>
    <tableColumn name="Costo total total al almacen " id="11"/>
    <tableColumn name="Costo Envío China-USA" id="12"/>
    <tableColumn name="Costo Envío  USA-NIC ($)" id="13"/>
    <tableColumn name="Costo envío Total ($)" id="14"/>
    <tableColumn name="Costo Total Lote ($)" id="15"/>
    <tableColumn name="Costo Unitario NIC" id="16"/>
    <tableColumn name="Precio de venta" id="17"/>
    <tableColumn name="Ingreso total  por producto" id="18"/>
    <tableColumn name="utilidad por producto" id="19"/>
    <tableColumn name="margen sobre costros por producto" id="20"/>
    <tableColumn name="margen sobre ventas por productos" id="21"/>
    <tableColumn name="Links" id="22"/>
    <tableColumn name="Origen" id="23"/>
  </tableColumns>
  <tableStyleInfo name="Posible inversion-style" showColumnStripes="0" showFirstColumn="1" showLastColumn="1" showRowStripes="1"/>
</table>
</file>

<file path=xl/tables/table19.xml><?xml version="1.0" encoding="utf-8"?>
<table xmlns="http://schemas.openxmlformats.org/spreadsheetml/2006/main" ref="A29:B44" displayName="Table_19" name="Table_19" id="19">
  <tableColumns count="2">
    <tableColumn name="Concepto" id="1"/>
    <tableColumn name="Monto (USD)" id="2"/>
  </tableColumns>
  <tableStyleInfo name="Posible inversion-style 2" showColumnStripes="0" showFirstColumn="1" showLastColumn="1" showRowStripes="1"/>
</table>
</file>

<file path=xl/tables/table20.xml><?xml version="1.0" encoding="utf-8"?>
<table xmlns="http://schemas.openxmlformats.org/spreadsheetml/2006/main" ref="D30:E32" displayName="Table_20" name="Table_20" id="20">
  <tableColumns count="2">
    <tableColumn name="COSTOS x libra" id="1"/>
    <tableColumn name="Cantidad (Dólares)" id="2"/>
  </tableColumns>
  <tableStyleInfo name="Posible inversion-style 3" showColumnStripes="0" showFirstColumn="1" showLastColumn="1" showRowStripes="1"/>
</table>
</file>

<file path=xl/tables/table21.xml><?xml version="1.0" encoding="utf-8"?>
<table xmlns="http://schemas.openxmlformats.org/spreadsheetml/2006/main" ref="H38:J41" displayName="Table_21" name="Table_21" id="21">
  <tableColumns count="3">
    <tableColumn name="compression sockings 15-20mmHg " id="1"/>
    <tableColumn name="beige " id="2"/>
    <tableColumn name="black" id="3"/>
  </tableColumns>
  <tableStyleInfo name="Posible inversion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tail.1688.com/offer/962571504607.html?spm=a26352.b28411319/2508.0.0.75eb1e62fsSu5D" TargetMode="External"/><Relationship Id="rId2" Type="http://schemas.openxmlformats.org/officeDocument/2006/relationships/hyperlink" Target="https://detail.1688.com/offer/899245212776.html?spm=a261y.7663282.sceneKey.1.624a15e3selvla&amp;sk=consign&amp;traceId=213e002a17584943933085186e793d&amp;spm-url=a260k.home2025.recommendpart.53&amp;spm-auction=899245212776" TargetMode="External"/><Relationship Id="rId3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hyperlink" Target="https://detail.1688.com/offer/962571504607.html?spm=a26352.b28411319/2508.0.0.75eb1e62fsSu5D" TargetMode="External"/><Relationship Id="rId2" Type="http://schemas.openxmlformats.org/officeDocument/2006/relationships/hyperlink" Target="https://detail.1688.com/offer/899245212776.html?spm=a261y.7663282.sceneKey.1.624a15e3selvla&amp;sk=consign&amp;traceId=213e002a17584943933085186e793d&amp;spm-url=a260k.home2025.recommendpart.53&amp;spm-auction=899245212776" TargetMode="External"/><Relationship Id="rId3" Type="http://schemas.openxmlformats.org/officeDocument/2006/relationships/hyperlink" Target="https://detail.1688.com/offer/743499100908.html?spm=a26352.b28411319.offerlist.36.18c51e62LLPAwA&amp;cosite=-&amp;tracelog=p4p&amp;_p_isad=1&amp;clickid=cf117e14ab324938bf40a86a52e56352&amp;sessionid=45cc754ce639a008f4db696c7c0e8ac4" TargetMode="External"/><Relationship Id="rId4" Type="http://schemas.openxmlformats.org/officeDocument/2006/relationships/hyperlink" Target="https://detail.1688.com/offer/657458286819.html?spm=a26352.b28411319.offerlist.21.2e341e62dssJSC" TargetMode="External"/><Relationship Id="rId9" Type="http://schemas.openxmlformats.org/officeDocument/2006/relationships/hyperlink" Target="https://detail.1688.com/offer/778963890676.html?spm=a26352.b28411319.offerlist.47.24fc1e62Tx5cC" TargetMode="External"/><Relationship Id="rId15" Type="http://schemas.openxmlformats.org/officeDocument/2006/relationships/table" Target="../tables/table5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5" Type="http://schemas.openxmlformats.org/officeDocument/2006/relationships/hyperlink" Target="https://detail.1688.com/offer/846539069738.html?spm=a26352.b28411319.offerlist.11.4cf71e62zLu3dl&amp;cosite=-&amp;tracelog=p4p&amp;_p_isad=1&amp;clickid=6d3c10e80f8c40848b1fc2e8b52ee49d&amp;sessionid=70f5c208b14900086a5cb62ff7694c37" TargetMode="External"/><Relationship Id="rId6" Type="http://schemas.openxmlformats.org/officeDocument/2006/relationships/hyperlink" Target="https://detail.1688.com/offer/949948814384.html?spm=a261y.7663282.sceneKey.1.30e74929XWrSWd&amp;sk=consign&amp;traceId=213e365717584968120984857e6347&amp;spm-url=a26352.b28411319%2F2508.0.0.34151e62oopFoT&amp;spm-auction=949948814384&amp;spm-pre=a26352.b28411319%2F2508.0.0.34151e62oopFoT" TargetMode="External"/><Relationship Id="rId18" Type="http://schemas.openxmlformats.org/officeDocument/2006/relationships/table" Target="../tables/table8.xml"/><Relationship Id="rId7" Type="http://schemas.openxmlformats.org/officeDocument/2006/relationships/hyperlink" Target="https://detail.1688.com/offer/733562627826.html?spm=a26352.13672862.offerlist.41.2e701e62cqGAd8&amp;offerId=733562627826&amp;sortType=&amp;pageId=&amp;abBizDataType=cbuOffer&amp;trace_log=normal&amp;uuid=6b107adf730f4c99afbc224bd35cc9c4&amp;skuId=5247790839242&amp;forcePC=1760829036965" TargetMode="External"/><Relationship Id="rId8" Type="http://schemas.openxmlformats.org/officeDocument/2006/relationships/hyperlink" Target="https://detail.1688.com/offer/931439306548.html?spm=a26352.b28411319.offerlist.6.6d781e6255FKuf" TargetMode="External"/></Relationships>
</file>

<file path=xl/worksheets/_rels/sheet3.xml.rels><?xml version="1.0" encoding="UTF-8" standalone="yes"?><Relationships xmlns="http://schemas.openxmlformats.org/package/2006/relationships"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1" Type="http://schemas.openxmlformats.org/officeDocument/2006/relationships/hyperlink" Target="https://detail.1688.com/offer/778963890676.html?spm=a26352.b28411319.offerlist.47.24fc1e62Tx5cC5" TargetMode="External"/><Relationship Id="rId2" Type="http://schemas.openxmlformats.org/officeDocument/2006/relationships/hyperlink" Target="https://detail.1688.com/offer/535805220345.html?spm=a26352.b28411319.offerlist.28.439a1e62ABCG13" TargetMode="External"/><Relationship Id="rId3" Type="http://schemas.openxmlformats.org/officeDocument/2006/relationships/hyperlink" Target="https://detail.1688.com/offer/800970952460.html?_t=1764816248328&amp;spm=a2615.7691456.co_0_0_wangpu_score_0_0_0_0_0_0_0000_0.0" TargetMode="External"/><Relationship Id="rId4" Type="http://schemas.openxmlformats.org/officeDocument/2006/relationships/hyperlink" Target="https://detail.1688.com/offer/777713103434.html?_t=1764816242960&amp;spm=a2615.7691456.co_0_0_wangpu_score_0_0_0_0_0_0_0000_0.0" TargetMode="External"/><Relationship Id="rId14" Type="http://schemas.openxmlformats.org/officeDocument/2006/relationships/table" Target="../tables/table11.xml"/><Relationship Id="rId5" Type="http://schemas.openxmlformats.org/officeDocument/2006/relationships/hyperlink" Target="https://detail.1688.com/offer/928492128685.html?spm=a26352.b28411319.offerlist.1.45b41e627uOyWR&amp;cosite=-&amp;tracelog=p4p&amp;_p_isad=1&amp;clickid=f8b77f5c8d6c4f5cad2ac955dbdaedb0&amp;sessionid=60f5b3bb41aa9a507dad2e0e770371cd" TargetMode="External"/><Relationship Id="rId6" Type="http://schemas.openxmlformats.org/officeDocument/2006/relationships/hyperlink" Target="https://detail.1688.com/offer/917899437374.html?spm=a26352.b28411319.offerlist.1.51651e62CF6X0f&amp;cosite=-&amp;tracelog=p4p&amp;_p_isad=1&amp;clickid=95b322f7669941d1af23fd6b07edee30&amp;sessionid=fdb6e77267553338d755f791fd8808d4" TargetMode="External"/><Relationship Id="rId7" Type="http://schemas.openxmlformats.org/officeDocument/2006/relationships/hyperlink" Target="https://detail.1688.com/offer/953293099875.html?spm=a26352.b28411319.offerlist.1.32991e62R7mrJ6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2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1" Type="http://schemas.openxmlformats.org/officeDocument/2006/relationships/hyperlink" Target="https://detail.1688.com/offer/778963890676.html?spm=a26352.b28411319.offerlist.47.24fc1e62Tx5" TargetMode="External"/><Relationship Id="rId2" Type="http://schemas.openxmlformats.org/officeDocument/2006/relationships/hyperlink" Target="https://detail.1688.com/offer/846539069738.html?spm=a26352.b28411319.offerlist.11.4cf71e62zLu3dl&amp;cosite=-&amp;tracelog=p4p&amp;_p_isad=1&amp;clickid=6d3c10e80f8c40848b1fc2e8b52ee49d&amp;sessionid=70f5c208b14900086a5cb62ff7694c37" TargetMode="External"/><Relationship Id="rId3" Type="http://schemas.openxmlformats.org/officeDocument/2006/relationships/hyperlink" Target="https://detail.1688.com/offer/930081454204.html?spm=a26352.b28411319/2508.0.0" TargetMode="External"/><Relationship Id="rId4" Type="http://schemas.openxmlformats.org/officeDocument/2006/relationships/hyperlink" Target="https://detail.1688.com/offer/951101056608.html?_t=1768786798148&amp;spm=a2615.7691456.co_1_0_wangpu_score_0_0_0_0_0_0_0000_0.0" TargetMode="External"/><Relationship Id="rId5" Type="http://schemas.openxmlformats.org/officeDocument/2006/relationships/hyperlink" Target="https://detail.1688.com/offer/899245212776.html?spm=a261y.7663282.3002526303362591.2.2aa25af1hqMhem&amp;sk=orde" TargetMode="External"/><Relationship Id="rId6" Type="http://schemas.openxmlformats.org/officeDocument/2006/relationships/hyperlink" Target="https://detail.1688.com/offer/965114246894.html?offerId=965114246894&amp;hotSaleSkuId=5928326656720&amp;spm=a260k.home2025.recommendpart.186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5.xml"/><Relationship Id="rId13" Type="http://schemas.openxmlformats.org/officeDocument/2006/relationships/table" Target="../tables/table17.xml"/><Relationship Id="rId12" Type="http://schemas.openxmlformats.org/officeDocument/2006/relationships/table" Target="../tables/table16.xml"/><Relationship Id="rId1" Type="http://schemas.openxmlformats.org/officeDocument/2006/relationships/hyperlink" Target="https://detail.1688.com/offer/778963890676.html?spm=a26352.b28411319.offerlist.47.24fc1e62Tx5" TargetMode="External"/><Relationship Id="rId2" Type="http://schemas.openxmlformats.org/officeDocument/2006/relationships/hyperlink" Target="https://detail.1688.com/offer/846539069738.html?spm=a26352.b28411319.offerlist.11.4cf71e62zLu3dl&amp;cosite=-&amp;tracelog=p4p&amp;_p_isad=1&amp;clickid=6d3c10e80f8c40848b1fc2e8b52ee49d&amp;sessionid=70f5c208b14900086a5cb62ff7694c37" TargetMode="External"/><Relationship Id="rId3" Type="http://schemas.openxmlformats.org/officeDocument/2006/relationships/hyperlink" Target="https://detail.1688.com/offer/743499100908.html?spm=a26352.b28411319.offerlist.36.18c51e62LLPAwA&amp;cosite=-&amp;tracelog=p4p&amp;_p_isad=1&amp;clickid=cf117e14ab324938bf40a86a52e56352&amp;sessionid=45cc754ce639a008f4db696c7c0e8ac4" TargetMode="External"/><Relationship Id="rId4" Type="http://schemas.openxmlformats.org/officeDocument/2006/relationships/hyperlink" Target="https://detail.1688.com/offer/899245212776.html?spm=a261y.7663282.3002526303362591.2.2aa25af1hqMhem&amp;sk=orde" TargetMode="External"/><Relationship Id="rId5" Type="http://schemas.openxmlformats.org/officeDocument/2006/relationships/hyperlink" Target="https://detail.1688.com/offer/535805220345.html?spm=a26352.b28411319.offerlist.28.439a1e62ABCG13" TargetMode="External"/><Relationship Id="rId6" Type="http://schemas.openxmlformats.org/officeDocument/2006/relationships/hyperlink" Target="https://detail.1688.com/offer/800970952460.html?_t=1764816248328&amp;spm=a2615.7691456.co_0_0_wangpu_score_0_0_0_0_0_0_0000_0.0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3" Type="http://schemas.openxmlformats.org/officeDocument/2006/relationships/table" Target="../tables/table18.xml"/><Relationship Id="rId1" Type="http://schemas.openxmlformats.org/officeDocument/2006/relationships/hyperlink" Target="https://spanish.alibaba.com/product-detail/Langsdom-New-Product-IPX8-Swimming-Headphones-1601220680233.html?chatToken=TDFKeWNGRlpkWFZTWmtkNFRYRnZjVWxhVTBsU2RVcHNkRVpKVTJsMlRteERiM0ZyWlhrM2VHMXhZeTkwTVVSb2RIQnFRMGxKTmtONE9GSllWWFFyVGpCc01qTlRUMUpQUXpGNVRqUlBNVTlIY0hRMVEwdFZaVm96TUdOVFF6VkpSMVl3YjNkNFdUTjRUemxYWjJ0MVFURlpSbHBTYzFGNFkzaGpaV1l3Y0hoWU4wMVBaa2gzV25oSU5GcFFXRm81SzFkcFRuQjNQVDA9JnZlcnNpb249Mi4wLjA%3D&amp;encryptTargetLoginId=8pctgRBMALN%2BKqn4UnvZK9pNwWnNnb9v" TargetMode="External"/><Relationship Id="rId2" Type="http://schemas.openxmlformats.org/officeDocument/2006/relationships/hyperlink" Target="https://detail.1688.com/offer/891194971739.html?offerId=891194971739&amp;hotSaleSkuId=5906548623983&amp;spm=a260k.home2025.recommendpart.32" TargetMode="External"/><Relationship Id="rId3" Type="http://schemas.openxmlformats.org/officeDocument/2006/relationships/hyperlink" Target="https://www.alibaba.com/product-detail/GEDENG-Private-Label-S-Workout-Body_1600659478479.html?spm=a2700.galleryofferlist.normal_offer.d_image.71cc13a0QHVrh3&amp;priceId=5434f322eabe429392b2990709167cff" TargetMode="External"/><Relationship Id="rId4" Type="http://schemas.openxmlformats.org/officeDocument/2006/relationships/hyperlink" Target="https://www.alibaba.com/product-detail/Maxtop-Full-Touch-Sports-Smart-Watch_1601034610485.html?spm=a2700.shop_pl.41413.49.221b7121DfEKIw" TargetMode="External"/><Relationship Id="rId15" Type="http://schemas.openxmlformats.org/officeDocument/2006/relationships/table" Target="../tables/table20.xml"/><Relationship Id="rId14" Type="http://schemas.openxmlformats.org/officeDocument/2006/relationships/table" Target="../tables/table19.xml"/><Relationship Id="rId16" Type="http://schemas.openxmlformats.org/officeDocument/2006/relationships/table" Target="../tables/table21.xml"/><Relationship Id="rId5" Type="http://schemas.openxmlformats.org/officeDocument/2006/relationships/hyperlink" Target="https://www.alibaba.com/product-detail/Wholesale-Easy-to-Wear-Sandwich-Magnetic_1601258674112.html?spm=a2700.prosearch.normal_offer.d_image.334067af9sobMz&amp;priceId=0510b9af65514793bb87fded939134be" TargetMode="External"/><Relationship Id="rId6" Type="http://schemas.openxmlformats.org/officeDocument/2006/relationships/hyperlink" Target="https://www.alibaba.com/product-detail/New-Dual-System-Factory-Product-Wireless_1600984144519.html?spm=a2700.galleryofferlist.topad_classic.i9.420a13a0TXCQwn" TargetMode="External"/><Relationship Id="rId7" Type="http://schemas.openxmlformats.org/officeDocument/2006/relationships/hyperlink" Target="https://www.alibaba.com/product-detail/New-32L-min-Tire-Inflator-Portable_1601636634534.html?spm=a2700.prosearch.normal_offer.d_image.1a7867afpGVX9R&amp;priceId=ba374b1e14ca487caf51aec51ae4ee9e" TargetMode="External"/><Relationship Id="rId8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14.43"/>
    <col customWidth="1" min="3" max="4" width="10.71"/>
    <col customWidth="1" min="5" max="5" width="15.57"/>
    <col customWidth="1" min="6" max="7" width="10.43"/>
    <col customWidth="1" min="8" max="8" width="32.57"/>
    <col customWidth="1" min="9" max="9" width="11.14"/>
    <col customWidth="1" min="10" max="10" width="13.43"/>
    <col customWidth="1" min="11" max="11" width="17.71"/>
    <col customWidth="1" min="12" max="12" width="11.43"/>
    <col customWidth="1" min="13" max="13" width="16.71"/>
    <col customWidth="1" min="14" max="14" width="22.14"/>
    <col customWidth="1" min="15" max="15" width="18.14"/>
    <col customWidth="1" min="16" max="16" width="14.57"/>
    <col customWidth="1" min="17" max="17" width="19.43"/>
    <col customWidth="1" min="18" max="18" width="13.57"/>
    <col customWidth="1" min="19" max="19" width="17.43"/>
    <col customWidth="1" min="20" max="20" width="32.29"/>
    <col customWidth="1" min="21" max="21" width="61.86"/>
    <col customWidth="1" min="22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20.25" customHeight="1">
      <c r="A5" s="2"/>
      <c r="B5" s="2"/>
      <c r="C5" s="2"/>
      <c r="D5" s="2"/>
      <c r="E5" s="2"/>
      <c r="F5" s="3" t="s">
        <v>0</v>
      </c>
      <c r="G5" s="3">
        <v>36.62</v>
      </c>
      <c r="H5" s="2"/>
      <c r="I5" s="2"/>
      <c r="J5" s="2"/>
      <c r="K5" s="2"/>
    </row>
    <row r="6">
      <c r="A6" s="4" t="s">
        <v>1</v>
      </c>
      <c r="B6" s="5"/>
      <c r="C6" s="6"/>
      <c r="D6" s="6"/>
      <c r="E6" s="6"/>
      <c r="F6" s="6"/>
      <c r="G6" s="6"/>
      <c r="H6" s="6"/>
      <c r="I6" s="6"/>
      <c r="J6" s="2"/>
      <c r="K6" s="2"/>
    </row>
    <row r="7" ht="28.5" customHeight="1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14</v>
      </c>
      <c r="N7" s="7" t="s">
        <v>15</v>
      </c>
      <c r="O7" s="7" t="s">
        <v>16</v>
      </c>
      <c r="P7" s="7" t="s">
        <v>17</v>
      </c>
      <c r="Q7" s="8" t="s">
        <v>18</v>
      </c>
      <c r="R7" s="8" t="s">
        <v>19</v>
      </c>
      <c r="S7" s="7" t="s">
        <v>20</v>
      </c>
      <c r="T7" s="7" t="s">
        <v>21</v>
      </c>
      <c r="U7" s="7" t="s">
        <v>22</v>
      </c>
      <c r="V7" s="7" t="s">
        <v>23</v>
      </c>
    </row>
    <row r="8">
      <c r="A8" s="9"/>
      <c r="B8" s="10">
        <v>0.5</v>
      </c>
      <c r="C8" s="10">
        <f>'Calculadora base'!$B8*2.2</f>
        <v>1.1</v>
      </c>
      <c r="D8" s="10">
        <f>'Calculadora base'!$F8*'Calculadora base'!$B8</f>
        <v>5</v>
      </c>
      <c r="E8" s="10">
        <f>'Calculadora base'!$D8*2.2</f>
        <v>11</v>
      </c>
      <c r="F8" s="11">
        <v>10.0</v>
      </c>
      <c r="G8" s="10">
        <v>7.5</v>
      </c>
      <c r="H8" s="10">
        <f>'Calculadora base'!$F8*'Calculadora base'!$G8</f>
        <v>75</v>
      </c>
      <c r="I8" s="10">
        <f>'Calculadora base'!$H8*0.0295</f>
        <v>2.2125</v>
      </c>
      <c r="J8" s="10">
        <f>'Calculadora base'!$H8*0.03</f>
        <v>2.25</v>
      </c>
      <c r="K8" s="10">
        <f>SUM('Calculadora base'!$H8,'Calculadora base'!$I8,'Calculadora base'!$J8)</f>
        <v>79.4625</v>
      </c>
      <c r="L8" s="10">
        <f>1.4*'Calculadora base'!$E8</f>
        <v>15.4</v>
      </c>
      <c r="M8" s="10">
        <f>'Calculadora base'!$E8*$E$31</f>
        <v>22</v>
      </c>
      <c r="N8" s="10">
        <f>SUM('Calculadora base'!$L8,'Calculadora base'!$M8)</f>
        <v>37.4</v>
      </c>
      <c r="O8" s="10">
        <f>SUM('Calculadora base'!$N8, 'Calculadora base'!$H8, 'Calculadora base'!$I8, 'Calculadora base'!$J8)</f>
        <v>116.8625</v>
      </c>
      <c r="P8" s="10">
        <f>'Calculadora base'!$O8/'Calculadora base'!$F8</f>
        <v>11.68625</v>
      </c>
      <c r="Q8" s="10">
        <v>27.2</v>
      </c>
      <c r="R8" s="10">
        <f>'Calculadora base'!$F8*'Calculadora base'!$Q8</f>
        <v>272</v>
      </c>
      <c r="S8" s="10">
        <f>'Calculadora base'!$R8-'Calculadora base'!$O8</f>
        <v>155.1375</v>
      </c>
      <c r="T8" s="12">
        <f>(('Calculadora base'!$Q8-'Calculadora base'!$P8)/'Calculadora base'!$P8)</f>
        <v>1.32752166</v>
      </c>
      <c r="U8" s="12">
        <f>(('Calculadora base'!$Q8-'Calculadora base'!$P8)/'Calculadora base'!$Q8)</f>
        <v>0.5703584559</v>
      </c>
      <c r="V8" s="13" t="s">
        <v>24</v>
      </c>
    </row>
    <row r="9">
      <c r="A9" s="9"/>
      <c r="B9" s="10">
        <v>0.1</v>
      </c>
      <c r="C9" s="10">
        <f>'Calculadora base'!$B9*2.2</f>
        <v>0.22</v>
      </c>
      <c r="D9" s="10">
        <f>'Calculadora base'!$F9*'Calculadora base'!$B9</f>
        <v>1.5</v>
      </c>
      <c r="E9" s="10">
        <f>'Calculadora base'!$D9*2.2</f>
        <v>3.3</v>
      </c>
      <c r="F9" s="11">
        <v>15.0</v>
      </c>
      <c r="G9" s="10">
        <v>2.95</v>
      </c>
      <c r="H9" s="10">
        <f>'Calculadora base'!$F9*'Calculadora base'!$G9</f>
        <v>44.25</v>
      </c>
      <c r="I9" s="10">
        <f>'Calculadora base'!$H9*0.0295</f>
        <v>1.305375</v>
      </c>
      <c r="J9" s="10">
        <f>'Calculadora base'!$H9*0.03</f>
        <v>1.3275</v>
      </c>
      <c r="K9" s="10">
        <f>SUM('Calculadora base'!$H9,'Calculadora base'!$I9,'Calculadora base'!$J9)</f>
        <v>46.882875</v>
      </c>
      <c r="L9" s="10">
        <f>1.4*'Calculadora base'!$E9</f>
        <v>4.62</v>
      </c>
      <c r="M9" s="10">
        <f>'Calculadora base'!$E9*$E$31</f>
        <v>6.6</v>
      </c>
      <c r="N9" s="10">
        <f>SUM('Calculadora base'!$L9,'Calculadora base'!$M9)</f>
        <v>11.22</v>
      </c>
      <c r="O9" s="10">
        <f>SUM('Calculadora base'!$N9, 'Calculadora base'!$H9, 'Calculadora base'!$I9, 'Calculadora base'!$J9)</f>
        <v>58.102875</v>
      </c>
      <c r="P9" s="10">
        <f>'Calculadora base'!$O9/'Calculadora base'!$F9</f>
        <v>3.873525</v>
      </c>
      <c r="Q9" s="10">
        <v>16.26</v>
      </c>
      <c r="R9" s="10">
        <f>'Calculadora base'!$F9*'Calculadora base'!$Q9</f>
        <v>243.9</v>
      </c>
      <c r="S9" s="10">
        <f>'Calculadora base'!$R9-'Calculadora base'!$O9</f>
        <v>185.797125</v>
      </c>
      <c r="T9" s="12">
        <f>(('Calculadora base'!$Q9-'Calculadora base'!$P9)/'Calculadora base'!$P9)</f>
        <v>3.197726877</v>
      </c>
      <c r="U9" s="12">
        <f>(('Calculadora base'!$Q9-'Calculadora base'!$P9)/'Calculadora base'!$Q9)</f>
        <v>0.7617758303</v>
      </c>
      <c r="V9" s="13" t="s">
        <v>24</v>
      </c>
    </row>
    <row r="10">
      <c r="A10" s="9"/>
      <c r="B10" s="10"/>
      <c r="C10" s="10"/>
      <c r="D10" s="10"/>
      <c r="E10" s="10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2"/>
      <c r="U10" s="12"/>
      <c r="V10" s="13"/>
    </row>
    <row r="11">
      <c r="A11" s="9"/>
      <c r="B11" s="10"/>
      <c r="C11" s="10"/>
      <c r="D11" s="10"/>
      <c r="E11" s="10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2"/>
      <c r="U11" s="12"/>
      <c r="V11" s="13"/>
    </row>
    <row r="12">
      <c r="A12" s="9"/>
      <c r="B12" s="10"/>
      <c r="C12" s="10"/>
      <c r="D12" s="10"/>
      <c r="E12" s="10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2"/>
      <c r="U12" s="12"/>
      <c r="V12" s="13"/>
    </row>
    <row r="13">
      <c r="A13" s="9"/>
      <c r="B13" s="10"/>
      <c r="C13" s="10"/>
      <c r="D13" s="10"/>
      <c r="E13" s="10"/>
      <c r="F13" s="1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2"/>
      <c r="U13" s="12"/>
      <c r="V13" s="13"/>
    </row>
    <row r="14">
      <c r="A14" s="9"/>
      <c r="B14" s="10"/>
      <c r="C14" s="10"/>
      <c r="D14" s="10"/>
      <c r="E14" s="10"/>
      <c r="F14" s="1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2"/>
      <c r="U14" s="12"/>
      <c r="V14" s="13"/>
    </row>
    <row r="15">
      <c r="A15" s="9"/>
      <c r="B15" s="10"/>
      <c r="C15" s="10"/>
      <c r="D15" s="10"/>
      <c r="E15" s="10"/>
      <c r="F15" s="1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2"/>
      <c r="U15" s="12"/>
      <c r="V15" s="13"/>
    </row>
    <row r="16">
      <c r="A16" s="9"/>
      <c r="B16" s="10"/>
      <c r="C16" s="10"/>
      <c r="D16" s="10"/>
      <c r="E16" s="10"/>
      <c r="F16" s="1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2"/>
      <c r="U16" s="12"/>
      <c r="V16" s="13"/>
    </row>
    <row r="17">
      <c r="A17" s="14" t="s">
        <v>25</v>
      </c>
      <c r="B17" s="15">
        <f t="shared" ref="B17:C17" si="1">SUM(B8:B16)</f>
        <v>0.6</v>
      </c>
      <c r="C17" s="15">
        <f t="shared" si="1"/>
        <v>1.32</v>
      </c>
      <c r="D17" s="15">
        <v>35.0</v>
      </c>
      <c r="E17" s="15">
        <f t="shared" ref="E17:H17" si="2">SUM(E8:E16)</f>
        <v>14.3</v>
      </c>
      <c r="F17" s="16">
        <f t="shared" si="2"/>
        <v>25</v>
      </c>
      <c r="G17" s="15">
        <f t="shared" si="2"/>
        <v>10.45</v>
      </c>
      <c r="H17" s="15">
        <f t="shared" si="2"/>
        <v>119.25</v>
      </c>
      <c r="I17" s="15">
        <f>'Calculadora base'!$H17*0.0295</f>
        <v>3.517875</v>
      </c>
      <c r="J17" s="15">
        <f>'Calculadora base'!$H17*0.03</f>
        <v>3.5775</v>
      </c>
      <c r="K17" s="15">
        <f>SUM('Calculadora base'!$H17,'Calculadora base'!$I17,'Calculadora base'!$J17)</f>
        <v>126.345375</v>
      </c>
      <c r="L17" s="15">
        <f t="shared" ref="L17:S17" si="3">SUM(L8:L16)</f>
        <v>20.02</v>
      </c>
      <c r="M17" s="15">
        <f t="shared" si="3"/>
        <v>28.6</v>
      </c>
      <c r="N17" s="15">
        <f t="shared" si="3"/>
        <v>48.62</v>
      </c>
      <c r="O17" s="15">
        <f t="shared" si="3"/>
        <v>174.965375</v>
      </c>
      <c r="P17" s="15">
        <f t="shared" si="3"/>
        <v>15.559775</v>
      </c>
      <c r="Q17" s="15">
        <f t="shared" si="3"/>
        <v>43.46</v>
      </c>
      <c r="R17" s="15">
        <f t="shared" si="3"/>
        <v>515.9</v>
      </c>
      <c r="S17" s="15">
        <f t="shared" si="3"/>
        <v>340.934625</v>
      </c>
      <c r="T17" s="17"/>
      <c r="U17" s="17"/>
      <c r="V17" s="18"/>
    </row>
    <row r="18">
      <c r="A18" s="9"/>
      <c r="B18" s="10"/>
      <c r="C18" s="10"/>
      <c r="D18" s="10"/>
      <c r="E18" s="10"/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8"/>
      <c r="T18" s="18"/>
      <c r="U18" s="18"/>
      <c r="V18" s="18"/>
    </row>
    <row r="19">
      <c r="A19" s="9"/>
      <c r="B19" s="10"/>
      <c r="C19" s="10"/>
      <c r="D19" s="10"/>
      <c r="E19" s="10"/>
      <c r="F19" s="1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8"/>
      <c r="T19" s="18"/>
      <c r="U19" s="18"/>
      <c r="V19" s="18"/>
    </row>
    <row r="20">
      <c r="A20" s="9"/>
      <c r="B20" s="10"/>
      <c r="C20" s="10"/>
      <c r="D20" s="10"/>
      <c r="E20" s="10"/>
      <c r="F20" s="1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8"/>
      <c r="T20" s="18"/>
      <c r="U20" s="18"/>
      <c r="V20" s="18"/>
    </row>
    <row r="21" ht="15.75" customHeight="1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ht="15.75" customHeight="1">
      <c r="A22" s="20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1"/>
      <c r="M22" s="21"/>
      <c r="N22" s="19"/>
      <c r="O22" s="19"/>
      <c r="P22" s="19"/>
      <c r="Q22" s="19"/>
      <c r="R22" s="19"/>
      <c r="S22" s="22"/>
      <c r="T22" s="22"/>
      <c r="U22" s="22"/>
    </row>
    <row r="23" ht="15.75" customHeight="1">
      <c r="S23" s="22"/>
      <c r="T23" s="22"/>
      <c r="U23" s="22"/>
    </row>
    <row r="24" ht="15.75" customHeight="1">
      <c r="F24" s="23"/>
      <c r="G24" s="23"/>
      <c r="H24" s="23"/>
    </row>
    <row r="25" ht="15.75" customHeight="1">
      <c r="F25" s="23"/>
      <c r="G25" s="23"/>
      <c r="H25" s="23"/>
    </row>
    <row r="26" ht="15.75" customHeight="1">
      <c r="F26" s="23"/>
      <c r="G26" s="23"/>
      <c r="H26" s="23"/>
    </row>
    <row r="27" ht="15.75" customHeight="1">
      <c r="D27" s="24"/>
      <c r="E27" s="23"/>
      <c r="F27" s="23"/>
      <c r="G27" s="23"/>
      <c r="H27" s="23"/>
    </row>
    <row r="28" ht="15.75" customHeight="1">
      <c r="D28" s="24"/>
      <c r="E28" s="23"/>
      <c r="F28" s="23"/>
      <c r="G28" s="23"/>
      <c r="H28" s="23"/>
    </row>
    <row r="29" ht="18.0" customHeight="1">
      <c r="A29" s="25" t="s">
        <v>26</v>
      </c>
      <c r="B29" s="25" t="s">
        <v>27</v>
      </c>
      <c r="D29" s="24"/>
      <c r="E29" s="23"/>
      <c r="F29" s="23"/>
      <c r="G29" s="26"/>
      <c r="H29" s="26"/>
      <c r="I29" s="26"/>
    </row>
    <row r="30" ht="15.0" customHeight="1">
      <c r="A30" s="27" t="s">
        <v>28</v>
      </c>
      <c r="B30" s="28">
        <f>R17</f>
        <v>515.9</v>
      </c>
      <c r="D30" s="29" t="s">
        <v>29</v>
      </c>
      <c r="E30" s="29" t="s">
        <v>30</v>
      </c>
      <c r="F30" s="23"/>
      <c r="G30" s="30"/>
      <c r="H30" s="30"/>
      <c r="I30" s="30"/>
    </row>
    <row r="31" ht="15.75" customHeight="1">
      <c r="A31" s="31"/>
      <c r="B31" s="31"/>
      <c r="D31" s="32" t="s">
        <v>31</v>
      </c>
      <c r="E31" s="32">
        <v>2.0</v>
      </c>
      <c r="F31" s="23"/>
      <c r="G31" s="26"/>
      <c r="H31" s="26"/>
      <c r="I31" s="26"/>
    </row>
    <row r="32" ht="32.25" customHeight="1">
      <c r="A32" s="27" t="s">
        <v>32</v>
      </c>
      <c r="B32" s="31"/>
      <c r="D32" s="32" t="s">
        <v>33</v>
      </c>
      <c r="E32" s="32" t="s">
        <v>34</v>
      </c>
      <c r="F32" s="23"/>
      <c r="G32" s="30"/>
      <c r="H32" s="30"/>
      <c r="I32" s="30"/>
    </row>
    <row r="33" ht="15.75" customHeight="1">
      <c r="A33" s="31" t="s">
        <v>35</v>
      </c>
      <c r="B33" s="33">
        <f>SUM(K8:K15)</f>
        <v>126.345375</v>
      </c>
      <c r="C33" s="2"/>
      <c r="D33" s="24"/>
      <c r="E33" s="23"/>
      <c r="F33" s="23"/>
      <c r="G33" s="30"/>
      <c r="H33" s="30"/>
      <c r="I33" s="30"/>
    </row>
    <row r="34" ht="15.75" customHeight="1">
      <c r="A34" s="31" t="s">
        <v>36</v>
      </c>
      <c r="B34" s="34">
        <f>SUM(N8:N15)</f>
        <v>48.62</v>
      </c>
      <c r="C34" s="2"/>
      <c r="D34" s="24"/>
      <c r="E34" s="23"/>
      <c r="F34" s="23"/>
      <c r="G34" s="26"/>
      <c r="H34" s="26"/>
      <c r="I34" s="26"/>
    </row>
    <row r="35" ht="34.5" customHeight="1">
      <c r="A35" s="31" t="s">
        <v>37</v>
      </c>
      <c r="B35" s="34">
        <f>SUM(O17:O20)</f>
        <v>174.965375</v>
      </c>
      <c r="C35" s="23"/>
      <c r="D35" s="23"/>
      <c r="E35" s="23"/>
      <c r="F35" s="23"/>
      <c r="G35" s="26"/>
      <c r="H35" s="26"/>
      <c r="I35" s="26"/>
    </row>
    <row r="36" ht="31.5" customHeight="1">
      <c r="A36" s="27" t="s">
        <v>38</v>
      </c>
      <c r="B36" s="35">
        <f>SUM(B33:B35)</f>
        <v>349.93075</v>
      </c>
      <c r="C36" s="23"/>
      <c r="D36" s="23"/>
      <c r="E36" s="23"/>
      <c r="F36" s="23"/>
      <c r="G36" s="30"/>
      <c r="H36" s="30"/>
      <c r="I36" s="30"/>
    </row>
    <row r="37" ht="35.25" customHeight="1">
      <c r="A37" s="31"/>
      <c r="B37" s="31"/>
      <c r="C37" s="23"/>
      <c r="D37" s="23"/>
      <c r="E37" s="23"/>
      <c r="F37" s="23"/>
      <c r="G37" s="26"/>
      <c r="H37" s="26"/>
      <c r="I37" s="26"/>
    </row>
    <row r="38" ht="15.75" customHeight="1">
      <c r="A38" s="27" t="s">
        <v>39</v>
      </c>
      <c r="B38" s="36">
        <f>B30-B33-B34</f>
        <v>340.934625</v>
      </c>
      <c r="F38" s="23"/>
      <c r="G38" s="30"/>
      <c r="H38" s="37" t="s">
        <v>40</v>
      </c>
      <c r="I38" s="37" t="s">
        <v>41</v>
      </c>
      <c r="J38" s="37" t="s">
        <v>42</v>
      </c>
      <c r="K38" s="30"/>
    </row>
    <row r="39" ht="29.25" customHeight="1">
      <c r="A39" s="27" t="s">
        <v>43</v>
      </c>
      <c r="B39" s="36">
        <f>B38-B35</f>
        <v>165.96925</v>
      </c>
      <c r="F39" s="23"/>
      <c r="G39" s="30"/>
      <c r="H39" s="27" t="s">
        <v>44</v>
      </c>
      <c r="I39" s="27">
        <v>2.0</v>
      </c>
      <c r="J39" s="38">
        <v>2.0</v>
      </c>
    </row>
    <row r="40" ht="32.25" customHeight="1">
      <c r="A40" s="31"/>
      <c r="B40" s="31"/>
      <c r="F40" s="23"/>
      <c r="G40" s="26"/>
      <c r="H40" s="31" t="s">
        <v>45</v>
      </c>
      <c r="I40" s="31">
        <v>3.0</v>
      </c>
      <c r="J40" s="38">
        <v>3.0</v>
      </c>
    </row>
    <row r="41" ht="15.75" customHeight="1">
      <c r="A41" s="27" t="s">
        <v>46</v>
      </c>
      <c r="B41" s="31"/>
      <c r="F41" s="23"/>
      <c r="G41" s="26"/>
      <c r="H41" s="31" t="s">
        <v>47</v>
      </c>
      <c r="I41" s="31">
        <v>5.0</v>
      </c>
      <c r="J41" s="38">
        <v>5.0</v>
      </c>
    </row>
    <row r="42" ht="15.75" customHeight="1">
      <c r="A42" s="31" t="s">
        <v>48</v>
      </c>
      <c r="B42" s="39">
        <f>B38/B30</f>
        <v>0.6608540899</v>
      </c>
      <c r="C42" s="2"/>
      <c r="F42" s="23"/>
      <c r="G42" s="26"/>
      <c r="H42" s="40"/>
    </row>
    <row r="43" ht="15.75" customHeight="1">
      <c r="A43" s="31" t="s">
        <v>49</v>
      </c>
      <c r="B43" s="39">
        <f>B39/B30</f>
        <v>0.3217081799</v>
      </c>
      <c r="G43" s="26"/>
      <c r="H43" s="40"/>
    </row>
    <row r="44" ht="39.75" customHeight="1">
      <c r="A44" s="31" t="s">
        <v>50</v>
      </c>
      <c r="B44" s="39">
        <f>B39/B36</f>
        <v>0.4742916991</v>
      </c>
      <c r="G44" s="26"/>
      <c r="H44" s="40"/>
    </row>
    <row r="45" ht="29.2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I57" s="2"/>
      <c r="J57" s="2"/>
      <c r="K57" s="2"/>
    </row>
    <row r="58" ht="15.75" customHeight="1">
      <c r="I58" s="2"/>
      <c r="J58" s="2"/>
      <c r="K58" s="41"/>
    </row>
    <row r="59" ht="15.75" customHeight="1">
      <c r="I59" s="2"/>
      <c r="J59" s="2"/>
      <c r="K59" s="2"/>
    </row>
    <row r="60" ht="15.75" customHeight="1">
      <c r="J60" s="41"/>
      <c r="K60" s="2"/>
    </row>
    <row r="61" ht="15.75" customHeight="1">
      <c r="I61" s="41"/>
      <c r="J61" s="2"/>
      <c r="K61" s="2"/>
    </row>
    <row r="62" ht="15.75" customHeight="1">
      <c r="D62" s="2"/>
      <c r="E62" s="2"/>
      <c r="I62" s="2"/>
      <c r="J62" s="2"/>
      <c r="K62" s="42"/>
    </row>
    <row r="63" ht="15.75" customHeight="1">
      <c r="E63" s="2"/>
      <c r="I63" s="2"/>
      <c r="J63" s="2"/>
      <c r="K63" s="2"/>
    </row>
    <row r="64" ht="15.75" customHeight="1">
      <c r="I64" s="2"/>
      <c r="J64" s="2"/>
      <c r="K64" s="2"/>
    </row>
    <row r="65" ht="15.75" customHeight="1">
      <c r="I65" s="2"/>
      <c r="J65" s="2"/>
      <c r="K65" s="2"/>
    </row>
    <row r="66" ht="15.75" customHeight="1">
      <c r="C66" s="2"/>
      <c r="F66" s="2"/>
      <c r="G66" s="2"/>
      <c r="H66" s="2"/>
      <c r="I66" s="2"/>
      <c r="J66" s="2"/>
      <c r="K66" s="43" t="s">
        <v>51</v>
      </c>
    </row>
    <row r="67" ht="15.75" customHeight="1">
      <c r="F67" s="2"/>
      <c r="G67" s="2"/>
      <c r="H67" s="2"/>
      <c r="I67" s="2"/>
      <c r="J67" s="2"/>
    </row>
    <row r="68" ht="15.75" customHeight="1">
      <c r="A68" s="2"/>
      <c r="B68" s="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B6"/>
  </mergeCells>
  <hyperlinks>
    <hyperlink r:id="rId1" ref="V8"/>
    <hyperlink r:id="rId2" ref="V9"/>
  </hyperlinks>
  <printOptions/>
  <pageMargins bottom="0.75" footer="0.0" header="0.0" left="0.7" right="0.7" top="0.75"/>
  <pageSetup orientation="landscape"/>
  <drawing r:id="rId3"/>
  <tableParts count="4"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3" t="s">
        <v>0</v>
      </c>
      <c r="G5" s="3">
        <v>36.62</v>
      </c>
      <c r="H5" s="2"/>
      <c r="I5" s="2"/>
      <c r="J5" s="2"/>
      <c r="K5" s="2"/>
      <c r="P5" s="43">
        <f>(P15*2)</f>
        <v>5.3285</v>
      </c>
      <c r="R5" s="43">
        <v>4.0</v>
      </c>
    </row>
    <row r="6">
      <c r="A6" s="4" t="s">
        <v>1</v>
      </c>
      <c r="B6" s="5"/>
      <c r="C6" s="6"/>
      <c r="D6" s="6"/>
      <c r="E6" s="6"/>
      <c r="F6" s="6"/>
      <c r="G6" s="6"/>
      <c r="H6" s="6"/>
      <c r="I6" s="6"/>
      <c r="J6" s="2"/>
      <c r="K6" s="2"/>
    </row>
    <row r="7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14</v>
      </c>
      <c r="N7" s="7" t="s">
        <v>15</v>
      </c>
      <c r="O7" s="7" t="s">
        <v>16</v>
      </c>
      <c r="P7" s="7" t="s">
        <v>17</v>
      </c>
      <c r="Q7" s="8" t="s">
        <v>18</v>
      </c>
      <c r="R7" s="8" t="s">
        <v>19</v>
      </c>
      <c r="S7" s="7" t="s">
        <v>20</v>
      </c>
      <c r="T7" s="7" t="s">
        <v>21</v>
      </c>
      <c r="U7" s="7" t="s">
        <v>22</v>
      </c>
      <c r="V7" s="7" t="s">
        <v>23</v>
      </c>
    </row>
    <row r="8">
      <c r="A8" s="9" t="s">
        <v>52</v>
      </c>
      <c r="B8" s="10">
        <v>0.53</v>
      </c>
      <c r="C8" s="10">
        <f>Enero!$B8*2.2</f>
        <v>1.166</v>
      </c>
      <c r="D8" s="10">
        <f>Enero!$F8*Enero!$B8</f>
        <v>11.66</v>
      </c>
      <c r="E8" s="10">
        <f>Enero!$D8*2.2</f>
        <v>25.652</v>
      </c>
      <c r="F8" s="11">
        <v>22.0</v>
      </c>
      <c r="G8" s="10">
        <v>5.19</v>
      </c>
      <c r="H8" s="10">
        <f>Enero!$F8*Enero!$G8</f>
        <v>114.18</v>
      </c>
      <c r="I8" s="10">
        <f>Enero!$H8*0.06</f>
        <v>6.8508</v>
      </c>
      <c r="J8" s="10">
        <f>Enero!$H8*0.035</f>
        <v>3.9963</v>
      </c>
      <c r="K8" s="10">
        <f>SUM(Enero!$H8,Enero!$I8,Enero!$J8)</f>
        <v>125.0271</v>
      </c>
      <c r="L8" s="10">
        <f>1.4*Enero!$E8</f>
        <v>35.9128</v>
      </c>
      <c r="M8" s="10">
        <f>Enero!$E8*$E$31</f>
        <v>51.304</v>
      </c>
      <c r="N8" s="10">
        <f>SUM(Enero!$L8,Enero!$M8)</f>
        <v>87.2168</v>
      </c>
      <c r="O8" s="10">
        <f>SUM(Enero!$N8, Enero!$H8, Enero!$I8, Enero!$J8)</f>
        <v>212.2439</v>
      </c>
      <c r="P8" s="10">
        <f>Enero!$O8/Enero!$F8</f>
        <v>9.64745</v>
      </c>
      <c r="Q8" s="10">
        <v>16.0</v>
      </c>
      <c r="R8" s="10">
        <f>Enero!$F8*Enero!$Q8</f>
        <v>352</v>
      </c>
      <c r="S8" s="10">
        <f>Enero!$R8-Enero!$O8</f>
        <v>139.7561</v>
      </c>
      <c r="T8" s="12">
        <f>((Enero!$Q8-Enero!$P8)/Enero!$P8)</f>
        <v>0.6584693365</v>
      </c>
      <c r="U8" s="12">
        <f>((Enero!$Q8-Enero!$P8)/Enero!$Q8)</f>
        <v>0.397034375</v>
      </c>
      <c r="V8" s="13" t="s">
        <v>24</v>
      </c>
    </row>
    <row r="9">
      <c r="A9" s="9" t="s">
        <v>53</v>
      </c>
      <c r="B9" s="10">
        <v>0.1</v>
      </c>
      <c r="C9" s="10">
        <f>Enero!$B9*2.2</f>
        <v>0.22</v>
      </c>
      <c r="D9" s="10">
        <f>Enero!$F9*Enero!$B9</f>
        <v>1.5</v>
      </c>
      <c r="E9" s="10">
        <f>Enero!$D9*2.2</f>
        <v>3.3</v>
      </c>
      <c r="F9" s="11">
        <v>15.0</v>
      </c>
      <c r="G9" s="10">
        <v>3.8</v>
      </c>
      <c r="H9" s="10">
        <f>Enero!$F9*Enero!$G9</f>
        <v>57</v>
      </c>
      <c r="I9" s="10">
        <f>Enero!$H9*0.06</f>
        <v>3.42</v>
      </c>
      <c r="J9" s="10">
        <f>Enero!$H9*0.035</f>
        <v>1.995</v>
      </c>
      <c r="K9" s="10">
        <f>SUM(Enero!$H9,Enero!$I9,Enero!$J9)</f>
        <v>62.415</v>
      </c>
      <c r="L9" s="10">
        <f>1.4*Enero!$E9</f>
        <v>4.62</v>
      </c>
      <c r="M9" s="10">
        <f>Enero!$E9*$E$31</f>
        <v>6.6</v>
      </c>
      <c r="N9" s="10">
        <f>SUM(Enero!$L9,Enero!$M9)</f>
        <v>11.22</v>
      </c>
      <c r="O9" s="10">
        <f>SUM(Enero!$N9, Enero!$H9, Enero!$I9, Enero!$J9)</f>
        <v>73.635</v>
      </c>
      <c r="P9" s="10">
        <f>Enero!$O9/Enero!$F9</f>
        <v>4.909</v>
      </c>
      <c r="Q9" s="10">
        <v>8.2</v>
      </c>
      <c r="R9" s="10">
        <f>Enero!$F9*Enero!$Q9</f>
        <v>123</v>
      </c>
      <c r="S9" s="10">
        <f>Enero!$R9-Enero!$O9</f>
        <v>49.365</v>
      </c>
      <c r="T9" s="12">
        <f>((Enero!$Q9-Enero!$P9)/Enero!$P9)</f>
        <v>0.6704013037</v>
      </c>
      <c r="U9" s="12">
        <f>((Enero!$Q9-Enero!$P9)/Enero!$Q9)</f>
        <v>0.4013414634</v>
      </c>
      <c r="V9" s="13" t="s">
        <v>24</v>
      </c>
    </row>
    <row r="10">
      <c r="A10" s="9" t="s">
        <v>54</v>
      </c>
      <c r="B10" s="10">
        <v>0.4</v>
      </c>
      <c r="C10" s="10">
        <f>Enero!$B10*2.2</f>
        <v>0.88</v>
      </c>
      <c r="D10" s="10">
        <f>Enero!$F10*Enero!$B10</f>
        <v>4</v>
      </c>
      <c r="E10" s="10">
        <f t="shared" ref="E10:E16" si="1">PRODUCT(F10,C10)</f>
        <v>8.8</v>
      </c>
      <c r="F10" s="11">
        <v>10.0</v>
      </c>
      <c r="G10" s="10">
        <v>2.81</v>
      </c>
      <c r="H10" s="10">
        <f>Enero!$F10*Enero!$G10</f>
        <v>28.1</v>
      </c>
      <c r="I10" s="10">
        <f>Enero!$H10*0.06</f>
        <v>1.686</v>
      </c>
      <c r="J10" s="10">
        <f>Enero!$H10*0.035</f>
        <v>0.9835</v>
      </c>
      <c r="K10" s="10">
        <f>SUM(Enero!$H10,Enero!$I10,Enero!$J10)</f>
        <v>30.7695</v>
      </c>
      <c r="L10" s="10">
        <f>1.4*Enero!$E10</f>
        <v>12.32</v>
      </c>
      <c r="M10" s="10">
        <f>Enero!$E10*$E$31</f>
        <v>17.6</v>
      </c>
      <c r="N10" s="10">
        <f>SUM(Enero!$L10,Enero!$M10)</f>
        <v>29.92</v>
      </c>
      <c r="O10" s="10">
        <f>SUM(Enero!$N10, Enero!$H10, Enero!$I10, Enero!$J10)</f>
        <v>60.6895</v>
      </c>
      <c r="P10" s="10">
        <f>Enero!$O10/Enero!$F10</f>
        <v>6.06895</v>
      </c>
      <c r="Q10" s="10">
        <v>10.1</v>
      </c>
      <c r="R10" s="10">
        <f>Enero!$F10*Enero!$Q10</f>
        <v>101</v>
      </c>
      <c r="S10" s="10">
        <f>Enero!$R10-Enero!$O10</f>
        <v>40.3105</v>
      </c>
      <c r="T10" s="12">
        <f>((Enero!$Q10-Enero!$P10)/Enero!$P10)</f>
        <v>0.6642088005</v>
      </c>
      <c r="U10" s="12">
        <f>((Enero!$Q10-Enero!$P10)/Enero!$Q10)</f>
        <v>0.3991138614</v>
      </c>
      <c r="V10" s="13" t="s">
        <v>24</v>
      </c>
    </row>
    <row r="11">
      <c r="A11" s="9" t="s">
        <v>55</v>
      </c>
      <c r="B11" s="10">
        <v>0.1</v>
      </c>
      <c r="C11" s="10">
        <f>Enero!$B11*2.2</f>
        <v>0.22</v>
      </c>
      <c r="D11" s="10">
        <f>Enero!$F11*Enero!$B11</f>
        <v>0.8</v>
      </c>
      <c r="E11" s="10">
        <f t="shared" si="1"/>
        <v>1.76</v>
      </c>
      <c r="F11" s="11">
        <v>8.0</v>
      </c>
      <c r="G11" s="10">
        <v>1.23</v>
      </c>
      <c r="H11" s="10">
        <f>Enero!$F11*Enero!$G11</f>
        <v>9.84</v>
      </c>
      <c r="I11" s="10">
        <f>Enero!$H11*0.06</f>
        <v>0.5904</v>
      </c>
      <c r="J11" s="10">
        <f>Enero!$H11*0.035</f>
        <v>0.3444</v>
      </c>
      <c r="K11" s="10">
        <f>SUM(Enero!$H11,Enero!$I11,Enero!$J11)</f>
        <v>10.7748</v>
      </c>
      <c r="L11" s="10">
        <f>1.4*Enero!$E11</f>
        <v>2.464</v>
      </c>
      <c r="M11" s="10">
        <f>Enero!$E11*$E$31</f>
        <v>3.52</v>
      </c>
      <c r="N11" s="10">
        <f>SUM(Enero!$L11,Enero!$M11)</f>
        <v>5.984</v>
      </c>
      <c r="O11" s="10">
        <f>SUM(Enero!$N11, Enero!$H11, Enero!$I11, Enero!$J11)</f>
        <v>16.7588</v>
      </c>
      <c r="P11" s="10">
        <f>Enero!$O11/Enero!$F11</f>
        <v>2.09485</v>
      </c>
      <c r="Q11" s="10">
        <v>3.5</v>
      </c>
      <c r="R11" s="10">
        <f>Enero!$F11*Enero!$Q11</f>
        <v>28</v>
      </c>
      <c r="S11" s="10">
        <f>Enero!$R11-Enero!$O11</f>
        <v>11.2412</v>
      </c>
      <c r="T11" s="12">
        <f>((Enero!$Q11-Enero!$P11)/Enero!$P11)</f>
        <v>0.6707640165</v>
      </c>
      <c r="U11" s="12">
        <f>((Enero!$Q11-Enero!$P11)/Enero!$Q11)</f>
        <v>0.4014714286</v>
      </c>
      <c r="V11" s="13" t="s">
        <v>24</v>
      </c>
    </row>
    <row r="12">
      <c r="A12" s="9" t="s">
        <v>56</v>
      </c>
      <c r="B12" s="10">
        <v>0.2</v>
      </c>
      <c r="C12" s="10">
        <f>Enero!$B12*2.2</f>
        <v>0.44</v>
      </c>
      <c r="D12" s="10">
        <f>Enero!$F12*Enero!$B12</f>
        <v>4</v>
      </c>
      <c r="E12" s="10">
        <f t="shared" si="1"/>
        <v>8.8</v>
      </c>
      <c r="F12" s="11">
        <v>20.0</v>
      </c>
      <c r="G12" s="10">
        <v>4.91</v>
      </c>
      <c r="H12" s="10">
        <f>Enero!$F12*Enero!$G12</f>
        <v>98.2</v>
      </c>
      <c r="I12" s="10">
        <f>Enero!$H12*0.06</f>
        <v>5.892</v>
      </c>
      <c r="J12" s="10">
        <f>Enero!$H12*0.035</f>
        <v>3.437</v>
      </c>
      <c r="K12" s="10">
        <f>SUM(Enero!$H12,Enero!$I12,Enero!$J12)</f>
        <v>107.529</v>
      </c>
      <c r="L12" s="10">
        <f>1.4*Enero!$E12</f>
        <v>12.32</v>
      </c>
      <c r="M12" s="10">
        <f>Enero!$E12*$E$31</f>
        <v>17.6</v>
      </c>
      <c r="N12" s="10">
        <f>SUM(Enero!$L12,Enero!$M12)</f>
        <v>29.92</v>
      </c>
      <c r="O12" s="10">
        <f>SUM(Enero!$N12, Enero!$H12, Enero!$I12, Enero!$J12)</f>
        <v>137.449</v>
      </c>
      <c r="P12" s="10">
        <f>Enero!$O12/Enero!$F12</f>
        <v>6.87245</v>
      </c>
      <c r="Q12" s="10">
        <v>11.5</v>
      </c>
      <c r="R12" s="10">
        <f>Enero!$F12*Enero!$Q12</f>
        <v>230</v>
      </c>
      <c r="S12" s="10">
        <f>Enero!$R12-Enero!$O12</f>
        <v>92.551</v>
      </c>
      <c r="T12" s="12">
        <f>((Enero!$Q12-Enero!$P12)/Enero!$P12)</f>
        <v>0.6733479327</v>
      </c>
      <c r="U12" s="12">
        <f>((Enero!$Q12-Enero!$P12)/Enero!$Q12)</f>
        <v>0.4023956522</v>
      </c>
      <c r="V12" s="13" t="s">
        <v>24</v>
      </c>
    </row>
    <row r="13">
      <c r="A13" s="9" t="s">
        <v>57</v>
      </c>
      <c r="B13" s="10">
        <v>0.2</v>
      </c>
      <c r="C13" s="10">
        <f>Enero!$B13*2.2</f>
        <v>0.44</v>
      </c>
      <c r="D13" s="10">
        <f>Enero!$F13*Enero!$B13</f>
        <v>2</v>
      </c>
      <c r="E13" s="10">
        <f t="shared" si="1"/>
        <v>4.4</v>
      </c>
      <c r="F13" s="11">
        <v>10.0</v>
      </c>
      <c r="G13" s="10">
        <v>5.61</v>
      </c>
      <c r="H13" s="10">
        <f>Enero!$F13*Enero!$G13</f>
        <v>56.1</v>
      </c>
      <c r="I13" s="10">
        <f>Enero!$H13*0.06</f>
        <v>3.366</v>
      </c>
      <c r="J13" s="10">
        <f>Enero!$H13*0.035</f>
        <v>1.9635</v>
      </c>
      <c r="K13" s="10">
        <f>SUM(Enero!$H13,Enero!$I13,Enero!$J13)</f>
        <v>61.4295</v>
      </c>
      <c r="L13" s="10">
        <f>1.4*Enero!$E13</f>
        <v>6.16</v>
      </c>
      <c r="M13" s="10">
        <f>Enero!$E13*$E$31</f>
        <v>8.8</v>
      </c>
      <c r="N13" s="10">
        <f>SUM(Enero!$L13,Enero!$M13)</f>
        <v>14.96</v>
      </c>
      <c r="O13" s="10">
        <f>SUM(Enero!$N13, Enero!$H13, Enero!$I13, Enero!$J13)</f>
        <v>76.3895</v>
      </c>
      <c r="P13" s="10">
        <f>Enero!$O13/Enero!$F13</f>
        <v>7.63895</v>
      </c>
      <c r="Q13" s="10">
        <v>12.8</v>
      </c>
      <c r="R13" s="10">
        <f>Enero!$F13*Enero!$Q13</f>
        <v>128</v>
      </c>
      <c r="S13" s="10">
        <f>Enero!$R13-Enero!$O13</f>
        <v>51.6105</v>
      </c>
      <c r="T13" s="12">
        <f>((Enero!$Q13-Enero!$P13)/Enero!$P13)</f>
        <v>0.6756229587</v>
      </c>
      <c r="U13" s="12">
        <f>((Enero!$Q13-Enero!$P13)/Enero!$Q13)</f>
        <v>0.4032070313</v>
      </c>
      <c r="V13" s="13" t="s">
        <v>24</v>
      </c>
    </row>
    <row r="14">
      <c r="A14" s="9" t="s">
        <v>58</v>
      </c>
      <c r="B14" s="10">
        <v>0.2</v>
      </c>
      <c r="C14" s="10">
        <f>Enero!$B14*2.2</f>
        <v>0.44</v>
      </c>
      <c r="D14" s="10">
        <f>Enero!$F14*Enero!$B14</f>
        <v>2.4</v>
      </c>
      <c r="E14" s="10">
        <f t="shared" si="1"/>
        <v>5.28</v>
      </c>
      <c r="F14" s="11">
        <v>12.0</v>
      </c>
      <c r="G14" s="10">
        <v>3.91</v>
      </c>
      <c r="H14" s="10">
        <f>Enero!$F14*Enero!$G14</f>
        <v>46.92</v>
      </c>
      <c r="I14" s="10">
        <f>Enero!$H14*0.06</f>
        <v>2.8152</v>
      </c>
      <c r="J14" s="10">
        <f>Enero!$H14*0.035</f>
        <v>1.6422</v>
      </c>
      <c r="K14" s="10">
        <f>SUM(Enero!$H14,Enero!$I14,Enero!$J14)</f>
        <v>51.3774</v>
      </c>
      <c r="L14" s="10">
        <f>1.4*Enero!$E14</f>
        <v>7.392</v>
      </c>
      <c r="M14" s="10">
        <f>Enero!$E14*$E$31</f>
        <v>10.56</v>
      </c>
      <c r="N14" s="10">
        <f>SUM(Enero!$L14,Enero!$M14)</f>
        <v>17.952</v>
      </c>
      <c r="O14" s="10">
        <f>SUM(Enero!$N14, Enero!$H14, Enero!$I14, Enero!$J14)</f>
        <v>69.3294</v>
      </c>
      <c r="P14" s="10">
        <f>Enero!$O14/Enero!$F14</f>
        <v>5.77745</v>
      </c>
      <c r="Q14" s="10">
        <v>9.6</v>
      </c>
      <c r="R14" s="10">
        <f>Enero!$F14*Enero!$Q14</f>
        <v>115.2</v>
      </c>
      <c r="S14" s="10">
        <f>Enero!$R14-Enero!$O14</f>
        <v>45.8706</v>
      </c>
      <c r="T14" s="12">
        <f>((Enero!$Q14-Enero!$P14)/Enero!$P14)</f>
        <v>0.6616327272</v>
      </c>
      <c r="U14" s="12">
        <f>((Enero!$Q14-Enero!$P14)/Enero!$Q14)</f>
        <v>0.3981822917</v>
      </c>
      <c r="V14" s="13" t="s">
        <v>24</v>
      </c>
    </row>
    <row r="15">
      <c r="A15" s="9" t="s">
        <v>59</v>
      </c>
      <c r="B15" s="10">
        <v>0.1</v>
      </c>
      <c r="C15" s="10">
        <f>Enero!$B15*2.2</f>
        <v>0.22</v>
      </c>
      <c r="D15" s="10">
        <f>Enero!$F15*Enero!$B15</f>
        <v>2</v>
      </c>
      <c r="E15" s="10">
        <f t="shared" si="1"/>
        <v>4.4</v>
      </c>
      <c r="F15" s="11">
        <v>20.0</v>
      </c>
      <c r="G15" s="10">
        <v>1.75</v>
      </c>
      <c r="H15" s="10">
        <f>Enero!$F15*Enero!$G15</f>
        <v>35</v>
      </c>
      <c r="I15" s="10">
        <f>Enero!$H15*0.06</f>
        <v>2.1</v>
      </c>
      <c r="J15" s="10">
        <f>Enero!$H15*0.035</f>
        <v>1.225</v>
      </c>
      <c r="K15" s="10">
        <f>SUM(Enero!$H15,Enero!$I15,Enero!$J15)</f>
        <v>38.325</v>
      </c>
      <c r="L15" s="10">
        <f>1.4*Enero!$E15</f>
        <v>6.16</v>
      </c>
      <c r="M15" s="10">
        <f>Enero!$E15*$E$31</f>
        <v>8.8</v>
      </c>
      <c r="N15" s="10">
        <f>SUM(Enero!$L15,Enero!$M15)</f>
        <v>14.96</v>
      </c>
      <c r="O15" s="10">
        <f>SUM(Enero!$N15, Enero!$H15, Enero!$I15, Enero!$J15)</f>
        <v>53.285</v>
      </c>
      <c r="P15" s="10">
        <f>Enero!$O15/Enero!$F15</f>
        <v>2.66425</v>
      </c>
      <c r="Q15" s="10">
        <v>6.0</v>
      </c>
      <c r="R15" s="10">
        <f>Enero!$F15*Enero!$Q15</f>
        <v>120</v>
      </c>
      <c r="S15" s="10">
        <f>Enero!$R15-Enero!$O15</f>
        <v>66.715</v>
      </c>
      <c r="T15" s="12">
        <f>((Enero!$Q15-Enero!$P15)/Enero!$P15)</f>
        <v>1.252040912</v>
      </c>
      <c r="U15" s="12">
        <f>((Enero!$Q15-Enero!$P15)/Enero!$Q15)</f>
        <v>0.5559583333</v>
      </c>
      <c r="V15" s="13" t="s">
        <v>24</v>
      </c>
    </row>
    <row r="16">
      <c r="A16" s="9" t="s">
        <v>60</v>
      </c>
      <c r="B16" s="10">
        <v>0.2</v>
      </c>
      <c r="C16" s="10">
        <f>Enero!$B16*2.2</f>
        <v>0.44</v>
      </c>
      <c r="D16" s="10">
        <f>Enero!$F16*Enero!$B16</f>
        <v>10</v>
      </c>
      <c r="E16" s="10">
        <f t="shared" si="1"/>
        <v>22</v>
      </c>
      <c r="F16" s="11">
        <v>50.0</v>
      </c>
      <c r="G16" s="10">
        <v>1.8</v>
      </c>
      <c r="H16" s="10">
        <f>Enero!$F16*Enero!$G16</f>
        <v>90</v>
      </c>
      <c r="I16" s="10">
        <f>Enero!$H16*0.06</f>
        <v>5.4</v>
      </c>
      <c r="J16" s="10">
        <f>Enero!$H16*0.035</f>
        <v>3.15</v>
      </c>
      <c r="K16" s="10">
        <f>SUM(Enero!$H16,Enero!$I16,Enero!$J16)</f>
        <v>98.55</v>
      </c>
      <c r="L16" s="10">
        <f>1.4*Enero!$E16</f>
        <v>30.8</v>
      </c>
      <c r="M16" s="10">
        <f>Enero!$E16*$E$31</f>
        <v>44</v>
      </c>
      <c r="N16" s="10">
        <f>SUM(Enero!$L16,Enero!$M16)</f>
        <v>74.8</v>
      </c>
      <c r="O16" s="10">
        <f>SUM(Enero!$N16, Enero!$H16, Enero!$I16, Enero!$J16)</f>
        <v>173.35</v>
      </c>
      <c r="P16" s="10">
        <f>Enero!$O16/Enero!$F16</f>
        <v>3.467</v>
      </c>
      <c r="Q16" s="10">
        <v>6.0</v>
      </c>
      <c r="R16" s="10">
        <f>Enero!$F16*Enero!$Q16</f>
        <v>300</v>
      </c>
      <c r="S16" s="10">
        <f>Enero!$R16-Enero!$O16</f>
        <v>126.65</v>
      </c>
      <c r="T16" s="12">
        <f>((Enero!$Q16-Enero!$P16)/Enero!$P16)</f>
        <v>0.7306028267</v>
      </c>
      <c r="U16" s="12">
        <f>((Enero!$Q16-Enero!$P16)/Enero!$Q16)</f>
        <v>0.4221666667</v>
      </c>
      <c r="V16" s="13" t="s">
        <v>24</v>
      </c>
    </row>
    <row r="17">
      <c r="A17" s="14" t="s">
        <v>25</v>
      </c>
      <c r="B17" s="15">
        <f t="shared" ref="B17:C17" si="2">SUM(B8:B16)</f>
        <v>2.03</v>
      </c>
      <c r="C17" s="15">
        <f t="shared" si="2"/>
        <v>4.466</v>
      </c>
      <c r="D17" s="15">
        <v>35.0</v>
      </c>
      <c r="E17" s="15">
        <f t="shared" ref="E17:H17" si="3">SUM(E8:E16)</f>
        <v>84.392</v>
      </c>
      <c r="F17" s="16">
        <f t="shared" si="3"/>
        <v>167</v>
      </c>
      <c r="G17" s="15">
        <f t="shared" si="3"/>
        <v>31.01</v>
      </c>
      <c r="H17" s="15">
        <f t="shared" si="3"/>
        <v>535.34</v>
      </c>
      <c r="I17" s="10">
        <f>Enero!$H17*0.06</f>
        <v>32.1204</v>
      </c>
      <c r="J17" s="10">
        <f>Enero!$H17*0.035</f>
        <v>18.7369</v>
      </c>
      <c r="K17" s="15">
        <f>SUM(Enero!$H17,Enero!$I17,Enero!$J17)</f>
        <v>586.1973</v>
      </c>
      <c r="L17" s="15">
        <f t="shared" ref="L17:S17" si="4">SUM(L8:L16)</f>
        <v>118.1488</v>
      </c>
      <c r="M17" s="15">
        <f t="shared" si="4"/>
        <v>168.784</v>
      </c>
      <c r="N17" s="15">
        <f t="shared" si="4"/>
        <v>286.9328</v>
      </c>
      <c r="O17" s="15">
        <f t="shared" si="4"/>
        <v>873.1301</v>
      </c>
      <c r="P17" s="15">
        <f t="shared" si="4"/>
        <v>49.14035</v>
      </c>
      <c r="Q17" s="15">
        <f t="shared" si="4"/>
        <v>83.7</v>
      </c>
      <c r="R17" s="15">
        <f t="shared" si="4"/>
        <v>1497.2</v>
      </c>
      <c r="S17" s="15">
        <f t="shared" si="4"/>
        <v>624.0699</v>
      </c>
      <c r="T17" s="17"/>
      <c r="U17" s="17"/>
      <c r="V17" s="18"/>
    </row>
    <row r="18">
      <c r="A18" s="9"/>
      <c r="B18" s="10"/>
      <c r="C18" s="10"/>
      <c r="D18" s="10"/>
      <c r="E18" s="10"/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8"/>
      <c r="T18" s="18"/>
      <c r="U18" s="18"/>
      <c r="V18" s="18"/>
    </row>
    <row r="19">
      <c r="A19" s="9"/>
      <c r="B19" s="10"/>
      <c r="C19" s="10"/>
      <c r="D19" s="10"/>
      <c r="E19" s="10"/>
      <c r="F19" s="1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8"/>
      <c r="T19" s="18"/>
      <c r="U19" s="18"/>
      <c r="V19" s="18"/>
    </row>
    <row r="20">
      <c r="A20" s="9"/>
      <c r="B20" s="10"/>
      <c r="C20" s="10"/>
      <c r="D20" s="10"/>
      <c r="E20" s="10"/>
      <c r="F20" s="1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8"/>
      <c r="T20" s="18"/>
      <c r="U20" s="18"/>
      <c r="V20" s="18"/>
    </row>
    <row r="21" ht="15.75" customHeight="1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ht="15.75" customHeight="1">
      <c r="A22" s="20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1"/>
      <c r="M22" s="21"/>
      <c r="N22" s="19"/>
      <c r="O22" s="19"/>
      <c r="P22" s="19"/>
      <c r="Q22" s="19"/>
      <c r="R22" s="19"/>
      <c r="S22" s="22"/>
      <c r="T22" s="22"/>
      <c r="U22" s="22"/>
    </row>
    <row r="23" ht="15.75" customHeight="1">
      <c r="S23" s="22"/>
      <c r="T23" s="22"/>
      <c r="U23" s="22"/>
    </row>
    <row r="24" ht="15.75" customHeight="1">
      <c r="F24" s="23"/>
      <c r="G24" s="23"/>
      <c r="H24" s="23"/>
    </row>
    <row r="25" ht="15.75" customHeight="1">
      <c r="F25" s="23"/>
      <c r="G25" s="23"/>
      <c r="H25" s="23"/>
    </row>
    <row r="26" ht="15.75" customHeight="1">
      <c r="F26" s="23"/>
      <c r="G26" s="23"/>
      <c r="H26" s="23"/>
    </row>
    <row r="27" ht="15.75" customHeight="1">
      <c r="D27" s="24"/>
      <c r="E27" s="23"/>
      <c r="F27" s="23"/>
      <c r="G27" s="23"/>
      <c r="H27" s="23"/>
    </row>
    <row r="28" ht="15.75" customHeight="1">
      <c r="D28" s="24"/>
      <c r="E28" s="23"/>
      <c r="F28" s="23"/>
      <c r="G28" s="23"/>
      <c r="H28" s="23"/>
    </row>
    <row r="29" ht="15.75" customHeight="1">
      <c r="A29" s="25" t="s">
        <v>26</v>
      </c>
      <c r="B29" s="25" t="s">
        <v>27</v>
      </c>
      <c r="D29" s="24"/>
      <c r="E29" s="23"/>
      <c r="F29" s="23"/>
      <c r="G29" s="26"/>
      <c r="H29" s="26"/>
      <c r="I29" s="26"/>
    </row>
    <row r="30" ht="15.75" customHeight="1">
      <c r="A30" s="27" t="s">
        <v>28</v>
      </c>
      <c r="B30" s="28">
        <f>R17</f>
        <v>1497.2</v>
      </c>
      <c r="D30" s="29" t="s">
        <v>29</v>
      </c>
      <c r="E30" s="29" t="s">
        <v>30</v>
      </c>
      <c r="F30" s="23"/>
      <c r="G30" s="30"/>
      <c r="H30" s="30"/>
      <c r="I30" s="30"/>
    </row>
    <row r="31" ht="15.75" customHeight="1">
      <c r="A31" s="31"/>
      <c r="B31" s="31"/>
      <c r="D31" s="32" t="s">
        <v>31</v>
      </c>
      <c r="E31" s="32">
        <v>2.0</v>
      </c>
      <c r="F31" s="23"/>
      <c r="G31" s="26"/>
      <c r="H31" s="26"/>
      <c r="I31" s="26"/>
    </row>
    <row r="32" ht="15.75" customHeight="1">
      <c r="A32" s="27" t="s">
        <v>32</v>
      </c>
      <c r="B32" s="31"/>
      <c r="D32" s="32" t="s">
        <v>33</v>
      </c>
      <c r="E32" s="32" t="s">
        <v>34</v>
      </c>
      <c r="F32" s="23"/>
      <c r="G32" s="30"/>
      <c r="H32" s="30"/>
      <c r="I32" s="30"/>
    </row>
    <row r="33" ht="15.75" customHeight="1">
      <c r="A33" s="31" t="s">
        <v>35</v>
      </c>
      <c r="B33" s="33">
        <f>SUM(K8:K16)</f>
        <v>586.1973</v>
      </c>
      <c r="C33" s="2"/>
      <c r="D33" s="24"/>
      <c r="E33" s="23"/>
      <c r="F33" s="23"/>
      <c r="G33" s="30"/>
      <c r="H33" s="30"/>
      <c r="I33" s="30"/>
    </row>
    <row r="34" ht="15.75" customHeight="1">
      <c r="A34" s="31" t="s">
        <v>36</v>
      </c>
      <c r="B34" s="34">
        <f>SUM(N8:N15)</f>
        <v>212.1328</v>
      </c>
      <c r="C34" s="2"/>
      <c r="D34" s="24"/>
      <c r="E34" s="23"/>
      <c r="F34" s="23"/>
      <c r="G34" s="26"/>
      <c r="H34" s="26"/>
      <c r="I34" s="26"/>
    </row>
    <row r="35" ht="15.75" customHeight="1">
      <c r="A35" s="31" t="s">
        <v>61</v>
      </c>
      <c r="B35" s="34">
        <v>300.0</v>
      </c>
      <c r="C35" s="23"/>
      <c r="D35" s="23"/>
      <c r="E35" s="23"/>
      <c r="F35" s="23"/>
      <c r="G35" s="26"/>
      <c r="H35" s="26"/>
      <c r="I35" s="26"/>
    </row>
    <row r="36" ht="15.75" customHeight="1">
      <c r="A36" s="27" t="s">
        <v>38</v>
      </c>
      <c r="B36" s="35">
        <f>SUM(B33:B35)</f>
        <v>1098.3301</v>
      </c>
      <c r="C36" s="23"/>
      <c r="D36" s="23"/>
      <c r="E36" s="23"/>
      <c r="F36" s="23"/>
      <c r="G36" s="30"/>
      <c r="H36" s="30"/>
      <c r="I36" s="30"/>
    </row>
    <row r="37" ht="15.75" customHeight="1">
      <c r="A37" s="31"/>
      <c r="B37" s="31"/>
      <c r="C37" s="23"/>
      <c r="D37" s="23"/>
      <c r="E37" s="23"/>
      <c r="F37" s="23"/>
      <c r="G37" s="26"/>
      <c r="H37" s="26"/>
      <c r="I37" s="26"/>
    </row>
    <row r="38" ht="15.75" customHeight="1">
      <c r="A38" s="27" t="s">
        <v>39</v>
      </c>
      <c r="B38" s="36">
        <f>B30-B33-B34</f>
        <v>698.8699</v>
      </c>
      <c r="F38" s="23"/>
      <c r="G38" s="30"/>
      <c r="H38" s="37" t="s">
        <v>62</v>
      </c>
      <c r="I38" s="37" t="s">
        <v>63</v>
      </c>
      <c r="J38" s="30"/>
    </row>
    <row r="39" ht="15.75" customHeight="1">
      <c r="A39" s="27" t="s">
        <v>43</v>
      </c>
      <c r="B39" s="36">
        <f>B38-B35</f>
        <v>398.8699</v>
      </c>
      <c r="F39" s="23"/>
      <c r="G39" s="30"/>
      <c r="H39" s="27" t="s">
        <v>64</v>
      </c>
      <c r="I39" s="27">
        <v>200.0</v>
      </c>
    </row>
    <row r="40" ht="15.75" customHeight="1">
      <c r="A40" s="31"/>
      <c r="B40" s="31"/>
      <c r="F40" s="23"/>
      <c r="G40" s="26"/>
      <c r="H40" s="31" t="s">
        <v>65</v>
      </c>
      <c r="I40" s="31">
        <v>50.0</v>
      </c>
    </row>
    <row r="41" ht="15.75" customHeight="1">
      <c r="A41" s="27" t="s">
        <v>46</v>
      </c>
      <c r="B41" s="31"/>
      <c r="F41" s="23"/>
      <c r="G41" s="26"/>
      <c r="H41" s="31" t="s">
        <v>66</v>
      </c>
      <c r="I41" s="31">
        <v>50.0</v>
      </c>
    </row>
    <row r="42" ht="15.75" customHeight="1">
      <c r="A42" s="31" t="s">
        <v>48</v>
      </c>
      <c r="B42" s="39">
        <f>B38/B30</f>
        <v>0.4667845979</v>
      </c>
      <c r="C42" s="2"/>
      <c r="F42" s="23"/>
      <c r="G42" s="26"/>
      <c r="H42" s="40"/>
    </row>
    <row r="43" ht="15.75" customHeight="1">
      <c r="A43" s="31" t="s">
        <v>49</v>
      </c>
      <c r="B43" s="39">
        <f>B39/B30</f>
        <v>0.2664105664</v>
      </c>
      <c r="G43" s="26"/>
      <c r="H43" s="40"/>
    </row>
    <row r="44" ht="15.75" customHeight="1">
      <c r="A44" s="31" t="s">
        <v>50</v>
      </c>
      <c r="B44" s="39">
        <f>B39/B36</f>
        <v>0.3631603104</v>
      </c>
      <c r="G44" s="26"/>
      <c r="H44" s="4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B6"/>
  </mergeCells>
  <hyperlinks>
    <hyperlink r:id="rId1" ref="V8"/>
    <hyperlink r:id="rId2" ref="V9"/>
    <hyperlink r:id="rId3" ref="V10"/>
    <hyperlink r:id="rId4" ref="V11"/>
    <hyperlink r:id="rId5" ref="V12"/>
    <hyperlink r:id="rId6" ref="V13"/>
    <hyperlink r:id="rId7" ref="V14"/>
    <hyperlink r:id="rId8" ref="V15"/>
    <hyperlink r:id="rId9" ref="V16"/>
  </hyperlinks>
  <printOptions/>
  <pageMargins bottom="0.75" footer="0.0" header="0.0" left="0.7" right="0.7" top="0.75"/>
  <pageSetup orientation="landscape"/>
  <drawing r:id="rId10"/>
  <tableParts count="4">
    <tablePart r:id="rId15"/>
    <tablePart r:id="rId16"/>
    <tablePart r:id="rId17"/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3.57"/>
    <col customWidth="1" min="4" max="26" width="10.71"/>
  </cols>
  <sheetData>
    <row r="3">
      <c r="B3" s="1"/>
      <c r="C3" s="1"/>
      <c r="D3" s="1"/>
      <c r="E3" s="1"/>
      <c r="F3" s="1"/>
      <c r="G3" s="1"/>
      <c r="H3" s="1"/>
      <c r="I3" s="1"/>
      <c r="J3" s="1"/>
      <c r="K3" s="1"/>
      <c r="L3" s="2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B6" s="2"/>
      <c r="C6" s="2"/>
      <c r="D6" s="2"/>
      <c r="E6" s="2"/>
      <c r="F6" s="2"/>
      <c r="G6" s="3" t="s">
        <v>0</v>
      </c>
      <c r="H6" s="3">
        <v>36.62</v>
      </c>
      <c r="I6" s="2"/>
      <c r="J6" s="2"/>
      <c r="K6" s="2"/>
      <c r="L6" s="2"/>
    </row>
    <row r="7">
      <c r="B7" s="4" t="s">
        <v>67</v>
      </c>
      <c r="C7" s="5"/>
      <c r="D7" s="6"/>
      <c r="E7" s="6"/>
      <c r="F7" s="6"/>
      <c r="G7" s="6"/>
      <c r="H7" s="6"/>
      <c r="I7" s="6"/>
      <c r="J7" s="6"/>
      <c r="K7" s="2"/>
      <c r="L7" s="2"/>
    </row>
    <row r="8">
      <c r="B8" s="7" t="s">
        <v>2</v>
      </c>
      <c r="C8" s="7" t="s">
        <v>3</v>
      </c>
      <c r="D8" s="7" t="s">
        <v>4</v>
      </c>
      <c r="E8" s="7" t="s">
        <v>5</v>
      </c>
      <c r="F8" s="7" t="s">
        <v>6</v>
      </c>
      <c r="G8" s="7" t="s">
        <v>7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14</v>
      </c>
      <c r="O8" s="7" t="s">
        <v>15</v>
      </c>
      <c r="P8" s="7" t="s">
        <v>16</v>
      </c>
      <c r="Q8" s="7" t="s">
        <v>17</v>
      </c>
      <c r="R8" s="8" t="s">
        <v>18</v>
      </c>
      <c r="S8" s="8" t="s">
        <v>19</v>
      </c>
      <c r="T8" s="7" t="s">
        <v>20</v>
      </c>
      <c r="U8" s="7" t="s">
        <v>21</v>
      </c>
      <c r="V8" s="7" t="s">
        <v>22</v>
      </c>
      <c r="W8" s="7" t="s">
        <v>23</v>
      </c>
    </row>
    <row r="9">
      <c r="B9" s="9" t="s">
        <v>60</v>
      </c>
      <c r="C9" s="10">
        <v>0.2</v>
      </c>
      <c r="D9" s="10">
        <f>Febrero!$C9*2.2</f>
        <v>0.44</v>
      </c>
      <c r="E9" s="10">
        <f>Febrero!$G9*Febrero!$C9</f>
        <v>10</v>
      </c>
      <c r="F9" s="10">
        <f>Febrero!$E9*2.2</f>
        <v>22</v>
      </c>
      <c r="G9" s="11">
        <v>50.0</v>
      </c>
      <c r="H9" s="10">
        <v>1.81</v>
      </c>
      <c r="I9" s="10">
        <f>Febrero!$G9*Febrero!$H9</f>
        <v>90.5</v>
      </c>
      <c r="J9" s="10">
        <f>Febrero!$I9*0.0295</f>
        <v>2.66975</v>
      </c>
      <c r="K9" s="10">
        <f>Febrero!$I9*0.03</f>
        <v>2.715</v>
      </c>
      <c r="L9" s="10">
        <f>SUM(Febrero!$I9,Febrero!$J9,Febrero!$K9)</f>
        <v>95.88475</v>
      </c>
      <c r="M9" s="10">
        <f>1.4*Febrero!$F9</f>
        <v>30.8</v>
      </c>
      <c r="N9" s="10">
        <f>Febrero!$F9*$E$31</f>
        <v>55</v>
      </c>
      <c r="O9" s="10">
        <f>SUM(Febrero!$M9,Febrero!$N9)</f>
        <v>85.8</v>
      </c>
      <c r="P9" s="10">
        <f>SUM(Febrero!$O9, Febrero!$I9, Febrero!$J9, Febrero!$K9)</f>
        <v>181.68475</v>
      </c>
      <c r="Q9" s="10">
        <f>Febrero!$P9/Febrero!$G9</f>
        <v>3.633695</v>
      </c>
      <c r="R9" s="10">
        <v>6.79</v>
      </c>
      <c r="S9" s="10">
        <f>Febrero!$G9*Febrero!$R9</f>
        <v>339.5</v>
      </c>
      <c r="T9" s="10">
        <f>Febrero!$S9-Febrero!$P9</f>
        <v>157.81525</v>
      </c>
      <c r="U9" s="12">
        <f>((Febrero!$R9-Febrero!$Q9)/Febrero!$Q9)</f>
        <v>0.8686213345</v>
      </c>
      <c r="V9" s="12">
        <f>((Febrero!$R9-Febrero!$Q9)/Febrero!$R9)</f>
        <v>0.4648460972</v>
      </c>
      <c r="W9" s="13" t="s">
        <v>68</v>
      </c>
    </row>
    <row r="10">
      <c r="B10" s="9" t="s">
        <v>69</v>
      </c>
      <c r="C10" s="10">
        <v>0.5</v>
      </c>
      <c r="D10" s="10">
        <f>Febrero!$C10*2.2</f>
        <v>1.1</v>
      </c>
      <c r="E10" s="10">
        <f>Febrero!$G10*Febrero!$C10</f>
        <v>25</v>
      </c>
      <c r="F10" s="10">
        <f>Febrero!$E10*2.2</f>
        <v>55</v>
      </c>
      <c r="G10" s="11">
        <v>50.0</v>
      </c>
      <c r="H10" s="10">
        <v>4.95</v>
      </c>
      <c r="I10" s="10">
        <f>Febrero!$G10*Febrero!$H10</f>
        <v>247.5</v>
      </c>
      <c r="J10" s="10">
        <f>Febrero!$I10*0.0295</f>
        <v>7.30125</v>
      </c>
      <c r="K10" s="10">
        <f>Febrero!$I10*0.03</f>
        <v>7.425</v>
      </c>
      <c r="L10" s="10">
        <f>SUM(Febrero!$I10,Febrero!$J10,Febrero!$K10)</f>
        <v>262.22625</v>
      </c>
      <c r="M10" s="10">
        <f>1.4*Febrero!$F10</f>
        <v>77</v>
      </c>
      <c r="N10" s="10">
        <f>Febrero!$F10*$E$31</f>
        <v>137.5</v>
      </c>
      <c r="O10" s="10">
        <f>SUM(Febrero!$M10,Febrero!$N10)</f>
        <v>214.5</v>
      </c>
      <c r="P10" s="10">
        <f>SUM(Febrero!$O10, Febrero!$I10, Febrero!$J10, Febrero!$K10)</f>
        <v>476.72625</v>
      </c>
      <c r="Q10" s="10">
        <f>Febrero!$P10/Febrero!$G10</f>
        <v>9.534525</v>
      </c>
      <c r="R10" s="10">
        <v>12.26</v>
      </c>
      <c r="S10" s="10">
        <f>Febrero!$G10*Febrero!$R10</f>
        <v>613</v>
      </c>
      <c r="T10" s="10">
        <f>Febrero!$S10-Febrero!$P10</f>
        <v>136.27375</v>
      </c>
      <c r="U10" s="12">
        <f>((Febrero!$R10-Febrero!$Q10)/Febrero!$Q10)</f>
        <v>0.2858532544</v>
      </c>
      <c r="V10" s="12">
        <f>((Febrero!$R10-Febrero!$Q10)/Febrero!$R10)</f>
        <v>0.2223062806</v>
      </c>
      <c r="W10" s="13" t="s">
        <v>68</v>
      </c>
    </row>
    <row r="11">
      <c r="B11" s="9" t="s">
        <v>70</v>
      </c>
      <c r="C11" s="10">
        <v>0.2</v>
      </c>
      <c r="D11" s="10">
        <f>Febrero!$C11*2.2</f>
        <v>0.44</v>
      </c>
      <c r="E11" s="10">
        <f>Febrero!$G11*Febrero!$C11</f>
        <v>5</v>
      </c>
      <c r="F11" s="10">
        <f t="shared" ref="F11:F17" si="1">PRODUCT(G11,D11)</f>
        <v>11</v>
      </c>
      <c r="G11" s="11">
        <v>25.0</v>
      </c>
      <c r="H11" s="10">
        <v>1.53</v>
      </c>
      <c r="I11" s="10">
        <f>Febrero!$G11*Febrero!$H11</f>
        <v>38.25</v>
      </c>
      <c r="J11" s="10">
        <f>Febrero!$I11*0.0295</f>
        <v>1.128375</v>
      </c>
      <c r="K11" s="10">
        <f>Febrero!$I11*0.03</f>
        <v>1.1475</v>
      </c>
      <c r="L11" s="10">
        <f>SUM(Febrero!$I11,Febrero!$J11,Febrero!$K11)</f>
        <v>40.525875</v>
      </c>
      <c r="M11" s="10">
        <f>1.4*Febrero!$F11</f>
        <v>15.4</v>
      </c>
      <c r="N11" s="10">
        <f>Febrero!$F11*$E$31</f>
        <v>27.5</v>
      </c>
      <c r="O11" s="10">
        <f>SUM(Febrero!$M11,Febrero!$N11)</f>
        <v>42.9</v>
      </c>
      <c r="P11" s="10">
        <f>SUM(Febrero!$O11, Febrero!$I11, Febrero!$J11, Febrero!$K11)</f>
        <v>83.425875</v>
      </c>
      <c r="Q11" s="10">
        <f>Febrero!$P11/Febrero!$G11</f>
        <v>3.337035</v>
      </c>
      <c r="R11" s="10">
        <v>8.15</v>
      </c>
      <c r="S11" s="10">
        <f>Febrero!$G11*Febrero!$R11</f>
        <v>203.75</v>
      </c>
      <c r="T11" s="10">
        <f>Febrero!$S11-Febrero!$P11</f>
        <v>120.324125</v>
      </c>
      <c r="U11" s="12">
        <f>((Febrero!$R11-Febrero!$Q11)/Febrero!$Q11)</f>
        <v>1.442287839</v>
      </c>
      <c r="V11" s="12">
        <f>((Febrero!$R11-Febrero!$Q11)/Febrero!$R11)</f>
        <v>0.5905478528</v>
      </c>
      <c r="W11" s="13" t="s">
        <v>68</v>
      </c>
    </row>
    <row r="12">
      <c r="B12" s="9" t="s">
        <v>71</v>
      </c>
      <c r="C12" s="10">
        <v>0.2</v>
      </c>
      <c r="D12" s="10">
        <f>Febrero!$C12*2.2</f>
        <v>0.44</v>
      </c>
      <c r="E12" s="10">
        <f>Febrero!$G12*Febrero!$C12</f>
        <v>5</v>
      </c>
      <c r="F12" s="10">
        <f t="shared" si="1"/>
        <v>11</v>
      </c>
      <c r="G12" s="11">
        <v>25.0</v>
      </c>
      <c r="H12" s="10">
        <v>1.95</v>
      </c>
      <c r="I12" s="10">
        <f>Febrero!$G12*Febrero!$H12</f>
        <v>48.75</v>
      </c>
      <c r="J12" s="10">
        <f>Febrero!$I12*0.0295</f>
        <v>1.438125</v>
      </c>
      <c r="K12" s="10">
        <f>Febrero!$I12*0.03</f>
        <v>1.4625</v>
      </c>
      <c r="L12" s="10">
        <f>SUM(Febrero!$I12,Febrero!$J12,Febrero!$K12)</f>
        <v>51.650625</v>
      </c>
      <c r="M12" s="10">
        <f>1.4*Febrero!$F12</f>
        <v>15.4</v>
      </c>
      <c r="N12" s="10">
        <f>Febrero!$F12*$E$31</f>
        <v>27.5</v>
      </c>
      <c r="O12" s="10">
        <f>SUM(Febrero!$M12,Febrero!$N12)</f>
        <v>42.9</v>
      </c>
      <c r="P12" s="10">
        <f>SUM(Febrero!$O12, Febrero!$I12, Febrero!$J12, Febrero!$K12)</f>
        <v>94.550625</v>
      </c>
      <c r="Q12" s="10">
        <f>Febrero!$P12/Febrero!$G12</f>
        <v>3.782025</v>
      </c>
      <c r="R12" s="10">
        <v>8.15</v>
      </c>
      <c r="S12" s="10">
        <f>Febrero!$G12*Febrero!$R12</f>
        <v>203.75</v>
      </c>
      <c r="T12" s="10">
        <f>Febrero!$S12-Febrero!$P12</f>
        <v>109.199375</v>
      </c>
      <c r="U12" s="12">
        <f>((Febrero!$R12-Febrero!$Q12)/Febrero!$Q12)</f>
        <v>1.154930229</v>
      </c>
      <c r="V12" s="12">
        <f>((Febrero!$R12-Febrero!$Q12)/Febrero!$R12)</f>
        <v>0.5359478528</v>
      </c>
      <c r="W12" s="13" t="s">
        <v>68</v>
      </c>
    </row>
    <row r="13">
      <c r="B13" s="9" t="s">
        <v>72</v>
      </c>
      <c r="C13" s="10">
        <v>0.25</v>
      </c>
      <c r="D13" s="10">
        <f>Febrero!$C13*2.2</f>
        <v>0.55</v>
      </c>
      <c r="E13" s="10">
        <f>Febrero!$G13*Febrero!$C13</f>
        <v>2.5</v>
      </c>
      <c r="F13" s="10">
        <f t="shared" si="1"/>
        <v>5.5</v>
      </c>
      <c r="G13" s="11">
        <v>10.0</v>
      </c>
      <c r="H13" s="10">
        <v>1.4</v>
      </c>
      <c r="I13" s="10">
        <f>Febrero!$G13*Febrero!$H13</f>
        <v>14</v>
      </c>
      <c r="J13" s="10">
        <f>Febrero!$I13*0.0295</f>
        <v>0.413</v>
      </c>
      <c r="K13" s="10">
        <f>Febrero!$I13*0.03</f>
        <v>0.42</v>
      </c>
      <c r="L13" s="10">
        <f>SUM(Febrero!$I13,Febrero!$J13,Febrero!$K13)</f>
        <v>14.833</v>
      </c>
      <c r="M13" s="10">
        <f>1.4*Febrero!$F13</f>
        <v>7.7</v>
      </c>
      <c r="N13" s="10">
        <f>Febrero!$F13*$E$31</f>
        <v>13.75</v>
      </c>
      <c r="O13" s="10">
        <f>SUM(Febrero!$M13,Febrero!$N13)</f>
        <v>21.45</v>
      </c>
      <c r="P13" s="10">
        <f>SUM(Febrero!$O13, Febrero!$I13, Febrero!$J13, Febrero!$K13)</f>
        <v>36.283</v>
      </c>
      <c r="Q13" s="10">
        <f>Febrero!$P13/Febrero!$G13</f>
        <v>3.6283</v>
      </c>
      <c r="R13" s="10">
        <v>6.0</v>
      </c>
      <c r="S13" s="10">
        <f>Febrero!$G13*Febrero!$R13</f>
        <v>60</v>
      </c>
      <c r="T13" s="10">
        <f>Febrero!$S13-Febrero!$P13</f>
        <v>23.717</v>
      </c>
      <c r="U13" s="12">
        <f>((Febrero!$R13-Febrero!$Q13)/Febrero!$Q13)</f>
        <v>0.6536670066</v>
      </c>
      <c r="V13" s="12">
        <f>((Febrero!$R13-Febrero!$Q13)/Febrero!$R13)</f>
        <v>0.3952833333</v>
      </c>
      <c r="W13" s="13" t="s">
        <v>73</v>
      </c>
    </row>
    <row r="14">
      <c r="B14" s="9" t="s">
        <v>74</v>
      </c>
      <c r="C14" s="10">
        <v>0.2</v>
      </c>
      <c r="D14" s="10">
        <f>Febrero!$C14*2.2</f>
        <v>0.44</v>
      </c>
      <c r="E14" s="10">
        <f>Febrero!$G14*Febrero!$C14</f>
        <v>2.4</v>
      </c>
      <c r="F14" s="10">
        <f t="shared" si="1"/>
        <v>5.28</v>
      </c>
      <c r="G14" s="11">
        <v>12.0</v>
      </c>
      <c r="H14" s="10">
        <v>1.7</v>
      </c>
      <c r="I14" s="10">
        <f>Febrero!$G14*Febrero!$H14</f>
        <v>20.4</v>
      </c>
      <c r="J14" s="10">
        <f>Febrero!$I14*0.0295</f>
        <v>0.6018</v>
      </c>
      <c r="K14" s="10">
        <f>Febrero!$I14*0.03</f>
        <v>0.612</v>
      </c>
      <c r="L14" s="10">
        <f>SUM(Febrero!$I14,Febrero!$J14,Febrero!$K14)</f>
        <v>21.6138</v>
      </c>
      <c r="M14" s="10">
        <f>1.4*Febrero!$F14</f>
        <v>7.392</v>
      </c>
      <c r="N14" s="10">
        <f>Febrero!$F14*$E$31</f>
        <v>13.2</v>
      </c>
      <c r="O14" s="10">
        <f>SUM(Febrero!$M14,Febrero!$N14)</f>
        <v>20.592</v>
      </c>
      <c r="P14" s="10">
        <f>SUM(Febrero!$O14, Febrero!$I14, Febrero!$J14, Febrero!$K14)</f>
        <v>42.2058</v>
      </c>
      <c r="Q14" s="10">
        <f>Febrero!$P14/Febrero!$G14</f>
        <v>3.51715</v>
      </c>
      <c r="R14" s="10">
        <v>6.0</v>
      </c>
      <c r="S14" s="10">
        <f>Febrero!$G14*Febrero!$R14</f>
        <v>72</v>
      </c>
      <c r="T14" s="10">
        <f>Febrero!$S14-Febrero!$P14</f>
        <v>29.7942</v>
      </c>
      <c r="U14" s="12">
        <f>((Febrero!$R14-Febrero!$Q14)/Febrero!$Q14)</f>
        <v>0.7059266736</v>
      </c>
      <c r="V14" s="12">
        <f>((Febrero!$R14-Febrero!$Q14)/Febrero!$R14)</f>
        <v>0.4138083333</v>
      </c>
      <c r="W14" s="13" t="s">
        <v>68</v>
      </c>
    </row>
    <row r="15">
      <c r="B15" s="9" t="s">
        <v>75</v>
      </c>
      <c r="C15" s="10">
        <v>0.2</v>
      </c>
      <c r="D15" s="10">
        <f>Febrero!$C15*2.2</f>
        <v>0.44</v>
      </c>
      <c r="E15" s="10">
        <f>Febrero!$G15*Febrero!$C15</f>
        <v>2</v>
      </c>
      <c r="F15" s="10">
        <f t="shared" si="1"/>
        <v>4.4</v>
      </c>
      <c r="G15" s="11">
        <v>10.0</v>
      </c>
      <c r="H15" s="10">
        <v>4.38</v>
      </c>
      <c r="I15" s="10">
        <f>Febrero!$G15*Febrero!$H15</f>
        <v>43.8</v>
      </c>
      <c r="J15" s="10">
        <f>Febrero!$I15*0.0295</f>
        <v>1.2921</v>
      </c>
      <c r="K15" s="10">
        <f>Febrero!$I15*0.03</f>
        <v>1.314</v>
      </c>
      <c r="L15" s="10">
        <f>SUM(Febrero!$I15,Febrero!$J15,Febrero!$K15)</f>
        <v>46.4061</v>
      </c>
      <c r="M15" s="10">
        <f>1.4*Febrero!$F15</f>
        <v>6.16</v>
      </c>
      <c r="N15" s="10">
        <f>Febrero!$F15*$E$31</f>
        <v>11</v>
      </c>
      <c r="O15" s="10">
        <f>SUM(Febrero!$M15,Febrero!$N15)</f>
        <v>17.16</v>
      </c>
      <c r="P15" s="10">
        <f>SUM(Febrero!$O15, Febrero!$I15, Febrero!$J15, Febrero!$K15)</f>
        <v>63.5661</v>
      </c>
      <c r="Q15" s="10">
        <f>Febrero!$P15/Febrero!$G15</f>
        <v>6.35661</v>
      </c>
      <c r="R15" s="10">
        <v>10.88</v>
      </c>
      <c r="S15" s="10">
        <f>Febrero!$G15*Febrero!$R15</f>
        <v>108.8</v>
      </c>
      <c r="T15" s="10">
        <f>Febrero!$S15-Febrero!$P15</f>
        <v>45.2339</v>
      </c>
      <c r="U15" s="12">
        <f>((Febrero!$R15-Febrero!$Q15)/Febrero!$Q15)</f>
        <v>0.7116041412</v>
      </c>
      <c r="V15" s="12">
        <f>((Febrero!$R15-Febrero!$Q15)/Febrero!$R15)</f>
        <v>0.4157527574</v>
      </c>
      <c r="W15" s="13" t="s">
        <v>73</v>
      </c>
    </row>
    <row r="16">
      <c r="B16" s="9" t="s">
        <v>76</v>
      </c>
      <c r="C16" s="10">
        <v>0.0</v>
      </c>
      <c r="D16" s="10">
        <f>Febrero!$C16*2.2</f>
        <v>0</v>
      </c>
      <c r="E16" s="10">
        <f>Febrero!$G16*Febrero!$C16</f>
        <v>0</v>
      </c>
      <c r="F16" s="10">
        <f t="shared" si="1"/>
        <v>0</v>
      </c>
      <c r="G16" s="11">
        <v>0.0</v>
      </c>
      <c r="H16" s="10">
        <v>0.0</v>
      </c>
      <c r="I16" s="10">
        <f>Febrero!$G16*Febrero!$H16</f>
        <v>0</v>
      </c>
      <c r="J16" s="10">
        <f>Febrero!$I16*0.0295</f>
        <v>0</v>
      </c>
      <c r="K16" s="10">
        <f>Febrero!$I16*0.03</f>
        <v>0</v>
      </c>
      <c r="L16" s="10">
        <f>SUM(Febrero!$I16,Febrero!$J16,Febrero!$K16)</f>
        <v>0</v>
      </c>
      <c r="M16" s="10">
        <f>1.4*Febrero!$F16</f>
        <v>0</v>
      </c>
      <c r="N16" s="10">
        <f>Febrero!$F16*$E$31</f>
        <v>0</v>
      </c>
      <c r="O16" s="10">
        <f>SUM(Febrero!$M16,Febrero!$N16)</f>
        <v>0</v>
      </c>
      <c r="P16" s="10">
        <f>SUM(Febrero!$O16, Febrero!$I16, Febrero!$J16, Febrero!$K16)</f>
        <v>0</v>
      </c>
      <c r="Q16" s="10">
        <v>0.0</v>
      </c>
      <c r="R16" s="10">
        <v>0.0</v>
      </c>
      <c r="S16" s="10">
        <f>Febrero!$G16*Febrero!$R16</f>
        <v>0</v>
      </c>
      <c r="T16" s="10">
        <f>Febrero!$S16-Febrero!$P16</f>
        <v>0</v>
      </c>
      <c r="U16" s="12">
        <v>0.0</v>
      </c>
      <c r="V16" s="12">
        <v>0.0</v>
      </c>
      <c r="W16" s="18"/>
    </row>
    <row r="17">
      <c r="B17" s="9" t="s">
        <v>76</v>
      </c>
      <c r="C17" s="10">
        <v>0.0</v>
      </c>
      <c r="D17" s="10">
        <f>Febrero!$C17*2.2</f>
        <v>0</v>
      </c>
      <c r="E17" s="10">
        <f>Febrero!$G17*Febrero!$C17</f>
        <v>0</v>
      </c>
      <c r="F17" s="10">
        <f t="shared" si="1"/>
        <v>0</v>
      </c>
      <c r="G17" s="11">
        <v>0.0</v>
      </c>
      <c r="H17" s="10">
        <v>0.0</v>
      </c>
      <c r="I17" s="10">
        <f>Febrero!$G17*Febrero!$H17</f>
        <v>0</v>
      </c>
      <c r="J17" s="10">
        <f>Febrero!$I17*0.0295</f>
        <v>0</v>
      </c>
      <c r="K17" s="10">
        <f>Febrero!$I17*0.03</f>
        <v>0</v>
      </c>
      <c r="L17" s="10">
        <f>SUM(Febrero!$I17,Febrero!$J17,Febrero!$K17)</f>
        <v>0</v>
      </c>
      <c r="M17" s="10">
        <f>1.4*Febrero!$F17</f>
        <v>0</v>
      </c>
      <c r="N17" s="10">
        <f>Febrero!$F17*$E$31</f>
        <v>0</v>
      </c>
      <c r="O17" s="10">
        <f>SUM(Febrero!$M17,Febrero!$N17)</f>
        <v>0</v>
      </c>
      <c r="P17" s="10">
        <f>SUM(Febrero!$O17, Febrero!$I17, Febrero!$J17, Febrero!$K17)</f>
        <v>0</v>
      </c>
      <c r="Q17" s="10">
        <v>0.0</v>
      </c>
      <c r="R17" s="10">
        <v>0.0</v>
      </c>
      <c r="S17" s="10">
        <f>Febrero!$G17*Febrero!$R17</f>
        <v>0</v>
      </c>
      <c r="T17" s="10">
        <f>Febrero!$S17-Febrero!$P17</f>
        <v>0</v>
      </c>
      <c r="U17" s="12">
        <v>0.0</v>
      </c>
      <c r="V17" s="12">
        <v>0.0</v>
      </c>
      <c r="W17" s="13"/>
    </row>
    <row r="18">
      <c r="B18" s="14" t="s">
        <v>25</v>
      </c>
      <c r="C18" s="15">
        <f t="shared" ref="C18:D18" si="2">SUM(C9:C17)</f>
        <v>1.75</v>
      </c>
      <c r="D18" s="15">
        <f t="shared" si="2"/>
        <v>3.85</v>
      </c>
      <c r="E18" s="15">
        <v>35.0</v>
      </c>
      <c r="F18" s="15">
        <f t="shared" ref="F18:I18" si="3">SUM(F9:F17)</f>
        <v>114.18</v>
      </c>
      <c r="G18" s="16">
        <f t="shared" si="3"/>
        <v>182</v>
      </c>
      <c r="H18" s="15">
        <f t="shared" si="3"/>
        <v>17.72</v>
      </c>
      <c r="I18" s="15">
        <f t="shared" si="3"/>
        <v>503.2</v>
      </c>
      <c r="J18" s="15">
        <f>Febrero!$I18*0.0295</f>
        <v>14.8444</v>
      </c>
      <c r="K18" s="15">
        <f>Febrero!$I18*0.03</f>
        <v>15.096</v>
      </c>
      <c r="L18" s="15">
        <f>SUM(Febrero!$I18,Febrero!$J18,Febrero!$K18)</f>
        <v>533.1404</v>
      </c>
      <c r="M18" s="15">
        <f t="shared" ref="M18:T18" si="4">SUM(M9:M17)</f>
        <v>159.852</v>
      </c>
      <c r="N18" s="15">
        <f t="shared" si="4"/>
        <v>285.45</v>
      </c>
      <c r="O18" s="15">
        <f t="shared" si="4"/>
        <v>445.302</v>
      </c>
      <c r="P18" s="15">
        <f t="shared" si="4"/>
        <v>978.4424</v>
      </c>
      <c r="Q18" s="15">
        <f t="shared" si="4"/>
        <v>33.78934</v>
      </c>
      <c r="R18" s="15">
        <f t="shared" si="4"/>
        <v>58.23</v>
      </c>
      <c r="S18" s="15">
        <f t="shared" si="4"/>
        <v>1600.8</v>
      </c>
      <c r="T18" s="15">
        <f t="shared" si="4"/>
        <v>622.3576</v>
      </c>
      <c r="U18" s="17"/>
      <c r="V18" s="17"/>
      <c r="W18" s="18"/>
    </row>
    <row r="19">
      <c r="B19" s="9"/>
      <c r="C19" s="10"/>
      <c r="D19" s="10"/>
      <c r="E19" s="10"/>
      <c r="F19" s="10"/>
      <c r="G19" s="1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8"/>
      <c r="U19" s="18"/>
      <c r="V19" s="18"/>
      <c r="W19" s="18"/>
    </row>
    <row r="20">
      <c r="B20" s="9"/>
      <c r="C20" s="10"/>
      <c r="D20" s="10"/>
      <c r="E20" s="10"/>
      <c r="F20" s="10"/>
      <c r="G20" s="11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8"/>
      <c r="U20" s="18"/>
      <c r="V20" s="18"/>
      <c r="W20" s="18"/>
    </row>
    <row r="21" ht="15.75" customHeight="1">
      <c r="B21" s="9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8"/>
      <c r="U21" s="18"/>
      <c r="V21" s="18"/>
      <c r="W21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A29" s="25" t="s">
        <v>26</v>
      </c>
      <c r="B29" s="25" t="s">
        <v>27</v>
      </c>
      <c r="D29" s="24"/>
      <c r="E29" s="23"/>
    </row>
    <row r="30" ht="15.75" customHeight="1">
      <c r="A30" s="27" t="s">
        <v>28</v>
      </c>
      <c r="B30" s="28">
        <f>R18</f>
        <v>58.23</v>
      </c>
      <c r="D30" s="29" t="s">
        <v>29</v>
      </c>
      <c r="E30" s="29" t="s">
        <v>30</v>
      </c>
    </row>
    <row r="31" ht="15.75" customHeight="1">
      <c r="A31" s="31"/>
      <c r="B31" s="31"/>
      <c r="D31" s="32" t="s">
        <v>31</v>
      </c>
      <c r="E31" s="32">
        <v>2.5</v>
      </c>
      <c r="H31" s="44"/>
      <c r="I31" s="44"/>
      <c r="J31" s="44"/>
    </row>
    <row r="32" ht="15.75" customHeight="1">
      <c r="A32" s="27" t="s">
        <v>32</v>
      </c>
      <c r="B32" s="31"/>
      <c r="D32" s="32" t="s">
        <v>33</v>
      </c>
      <c r="E32" s="32" t="s">
        <v>34</v>
      </c>
      <c r="H32" s="30"/>
      <c r="I32" s="30"/>
      <c r="J32" s="26"/>
    </row>
    <row r="33" ht="15.75" customHeight="1">
      <c r="A33" s="31" t="s">
        <v>35</v>
      </c>
      <c r="B33" s="33">
        <f>SUM(K8:K15)</f>
        <v>15.096</v>
      </c>
      <c r="C33" s="2"/>
      <c r="D33" s="24"/>
      <c r="E33" s="23"/>
      <c r="H33" s="30"/>
      <c r="I33" s="30"/>
      <c r="J33" s="26"/>
    </row>
    <row r="34" ht="15.75" customHeight="1">
      <c r="A34" s="31" t="s">
        <v>36</v>
      </c>
      <c r="B34" s="34">
        <f>SUM(N8:N15)</f>
        <v>285.45</v>
      </c>
      <c r="C34" s="2"/>
      <c r="D34" s="24"/>
      <c r="E34" s="23"/>
      <c r="H34" s="30"/>
      <c r="I34" s="30"/>
      <c r="J34" s="26"/>
    </row>
    <row r="35" ht="15.75" customHeight="1">
      <c r="A35" s="31" t="s">
        <v>37</v>
      </c>
      <c r="B35" s="34">
        <f>SUM(O17:O20)</f>
        <v>445.302</v>
      </c>
      <c r="C35" s="23"/>
      <c r="D35" s="23"/>
      <c r="E35" s="23"/>
      <c r="H35" s="30"/>
      <c r="I35" s="30"/>
      <c r="J35" s="30"/>
    </row>
    <row r="36" ht="15.75" customHeight="1">
      <c r="A36" s="27" t="s">
        <v>38</v>
      </c>
      <c r="B36" s="35">
        <f>SUM(B33:B35)</f>
        <v>745.848</v>
      </c>
      <c r="C36" s="23"/>
      <c r="D36" s="23"/>
      <c r="E36" s="23"/>
    </row>
    <row r="37" ht="15.75" customHeight="1">
      <c r="A37" s="31"/>
      <c r="B37" s="31"/>
      <c r="C37" s="23"/>
      <c r="D37" s="23"/>
      <c r="E37" s="23"/>
    </row>
    <row r="38" ht="15.75" customHeight="1">
      <c r="A38" s="27" t="s">
        <v>39</v>
      </c>
      <c r="B38" s="36">
        <f>B30-B33-B34</f>
        <v>-242.316</v>
      </c>
    </row>
    <row r="39" ht="15.75" customHeight="1">
      <c r="A39" s="27" t="s">
        <v>43</v>
      </c>
      <c r="B39" s="36">
        <f>B38-B35</f>
        <v>-687.618</v>
      </c>
    </row>
    <row r="40" ht="15.75" customHeight="1">
      <c r="A40" s="31"/>
      <c r="B40" s="31"/>
    </row>
    <row r="41" ht="15.75" customHeight="1">
      <c r="A41" s="27" t="s">
        <v>46</v>
      </c>
      <c r="B41" s="31"/>
    </row>
    <row r="42" ht="15.75" customHeight="1">
      <c r="A42" s="31" t="s">
        <v>48</v>
      </c>
      <c r="B42" s="39">
        <f>B38/B30</f>
        <v>-4.161360124</v>
      </c>
      <c r="C42" s="2"/>
    </row>
    <row r="43" ht="15.75" customHeight="1">
      <c r="A43" s="31" t="s">
        <v>49</v>
      </c>
      <c r="B43" s="39">
        <f>B39/B30</f>
        <v>-11.80865533</v>
      </c>
    </row>
    <row r="44" ht="15.75" customHeight="1">
      <c r="A44" s="31" t="s">
        <v>50</v>
      </c>
      <c r="B44" s="39">
        <f>B39/B36</f>
        <v>-0.9219277923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7:C7"/>
  </mergeCells>
  <hyperlinks>
    <hyperlink r:id="rId1" ref="W9"/>
    <hyperlink r:id="rId2" ref="W10"/>
    <hyperlink r:id="rId3" ref="W11"/>
    <hyperlink r:id="rId4" ref="W12"/>
    <hyperlink r:id="rId5" ref="W13"/>
    <hyperlink r:id="rId6" ref="W14"/>
    <hyperlink r:id="rId7" ref="W15"/>
  </hyperlinks>
  <printOptions/>
  <pageMargins bottom="0.75" footer="0.0" header="0.0" left="0.7" right="0.7" top="0.75"/>
  <pageSetup orientation="landscape"/>
  <drawing r:id="rId8"/>
  <tableParts count="3"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3" t="s">
        <v>0</v>
      </c>
      <c r="G5" s="3">
        <v>36.62</v>
      </c>
      <c r="H5" s="2"/>
      <c r="I5" s="2"/>
      <c r="J5" s="2"/>
      <c r="K5" s="2"/>
    </row>
    <row r="6">
      <c r="A6" s="4" t="s">
        <v>1</v>
      </c>
      <c r="B6" s="5"/>
      <c r="C6" s="6"/>
      <c r="D6" s="6"/>
      <c r="E6" s="6"/>
      <c r="F6" s="6"/>
      <c r="G6" s="6"/>
      <c r="H6" s="6"/>
      <c r="I6" s="6"/>
      <c r="J6" s="2"/>
      <c r="K6" s="2"/>
    </row>
    <row r="7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14</v>
      </c>
      <c r="N7" s="7" t="s">
        <v>15</v>
      </c>
      <c r="O7" s="7" t="s">
        <v>16</v>
      </c>
      <c r="P7" s="7" t="s">
        <v>17</v>
      </c>
      <c r="Q7" s="8" t="s">
        <v>18</v>
      </c>
      <c r="R7" s="8" t="s">
        <v>19</v>
      </c>
      <c r="S7" s="7" t="s">
        <v>20</v>
      </c>
      <c r="T7" s="7" t="s">
        <v>21</v>
      </c>
      <c r="U7" s="7" t="s">
        <v>22</v>
      </c>
      <c r="V7" s="7" t="s">
        <v>23</v>
      </c>
      <c r="W7" s="7" t="s">
        <v>77</v>
      </c>
    </row>
    <row r="8">
      <c r="A8" s="45" t="s">
        <v>78</v>
      </c>
      <c r="B8" s="10">
        <v>0.2</v>
      </c>
      <c r="C8" s="10">
        <f>'Abril-Mayo'!$B8*2.2</f>
        <v>0.44</v>
      </c>
      <c r="D8" s="10">
        <f>'Abril-Mayo'!$F8*'Abril-Mayo'!$B8</f>
        <v>10</v>
      </c>
      <c r="E8" s="10">
        <f>'Abril-Mayo'!$D8*2.2</f>
        <v>22</v>
      </c>
      <c r="F8" s="11">
        <v>50.0</v>
      </c>
      <c r="G8" s="46">
        <v>1.88</v>
      </c>
      <c r="H8" s="10">
        <f>'Abril-Mayo'!$F8*'Abril-Mayo'!$G8+20</f>
        <v>114</v>
      </c>
      <c r="I8" s="10">
        <f>'Abril-Mayo'!$H8*0.06</f>
        <v>6.84</v>
      </c>
      <c r="J8" s="46">
        <v>1.77</v>
      </c>
      <c r="K8" s="10">
        <f>SUM('Abril-Mayo'!$H8,'Abril-Mayo'!$I8,'Abril-Mayo'!$J8)</f>
        <v>122.61</v>
      </c>
      <c r="L8" s="10">
        <f>1.4*'Abril-Mayo'!$E8</f>
        <v>30.8</v>
      </c>
      <c r="M8" s="10">
        <f>'Abril-Mayo'!$E8*$E$29</f>
        <v>44</v>
      </c>
      <c r="N8" s="10">
        <f>SUM('Abril-Mayo'!$L8,'Abril-Mayo'!$M8)</f>
        <v>74.8</v>
      </c>
      <c r="O8" s="10">
        <f>SUM('Abril-Mayo'!$N8, 'Abril-Mayo'!$H8, 'Abril-Mayo'!$I8, 'Abril-Mayo'!$J8)</f>
        <v>197.41</v>
      </c>
      <c r="P8" s="10">
        <f>'Abril-Mayo'!$O8/'Abril-Mayo'!$F8</f>
        <v>3.9482</v>
      </c>
      <c r="Q8" s="46">
        <v>8.64</v>
      </c>
      <c r="R8" s="10">
        <f>'Abril-Mayo'!$F8*'Abril-Mayo'!$Q8</f>
        <v>432</v>
      </c>
      <c r="S8" s="10">
        <f>'Abril-Mayo'!$R8-'Abril-Mayo'!$O8</f>
        <v>234.59</v>
      </c>
      <c r="T8" s="12">
        <f>(('Abril-Mayo'!$Q8-'Abril-Mayo'!$P8)/'Abril-Mayo'!$P8)</f>
        <v>1.18833899</v>
      </c>
      <c r="U8" s="12">
        <f>(('Abril-Mayo'!$Q8-'Abril-Mayo'!$P8)/'Abril-Mayo'!$Q8)</f>
        <v>0.5430324074</v>
      </c>
      <c r="V8" s="13" t="s">
        <v>79</v>
      </c>
      <c r="W8" s="18">
        <v>1688.0</v>
      </c>
    </row>
    <row r="9">
      <c r="A9" s="45" t="s">
        <v>80</v>
      </c>
      <c r="B9" s="10">
        <v>0.5</v>
      </c>
      <c r="C9" s="10">
        <f>'Abril-Mayo'!$B9*2.2</f>
        <v>1.1</v>
      </c>
      <c r="D9" s="10">
        <f>'Abril-Mayo'!$F9*'Abril-Mayo'!$B9</f>
        <v>15</v>
      </c>
      <c r="E9" s="10">
        <f>'Abril-Mayo'!$D9*2.2</f>
        <v>33</v>
      </c>
      <c r="F9" s="47">
        <v>30.0</v>
      </c>
      <c r="G9" s="46">
        <v>4.89</v>
      </c>
      <c r="H9" s="10">
        <f>'Abril-Mayo'!$F9*'Abril-Mayo'!$G9+20</f>
        <v>166.7</v>
      </c>
      <c r="I9" s="10">
        <f>'Abril-Mayo'!$H9*0.06</f>
        <v>10.002</v>
      </c>
      <c r="J9" s="46">
        <v>6.62</v>
      </c>
      <c r="K9" s="10">
        <f>SUM('Abril-Mayo'!$H9,'Abril-Mayo'!$I9,'Abril-Mayo'!$J9)</f>
        <v>183.322</v>
      </c>
      <c r="L9" s="10">
        <f>1.4*'Abril-Mayo'!$E9</f>
        <v>46.2</v>
      </c>
      <c r="M9" s="10">
        <f>'Abril-Mayo'!$E9*$E$29</f>
        <v>66</v>
      </c>
      <c r="N9" s="10">
        <f>SUM('Abril-Mayo'!$L9,'Abril-Mayo'!$M9)</f>
        <v>112.2</v>
      </c>
      <c r="O9" s="10">
        <f>SUM('Abril-Mayo'!$N9, 'Abril-Mayo'!$H9, 'Abril-Mayo'!$I9, 'Abril-Mayo'!$J9)</f>
        <v>295.522</v>
      </c>
      <c r="P9" s="10">
        <f>'Abril-Mayo'!$O9/'Abril-Mayo'!$F9</f>
        <v>9.850733333</v>
      </c>
      <c r="Q9" s="10">
        <v>15.0</v>
      </c>
      <c r="R9" s="10">
        <f>'Abril-Mayo'!$F9*'Abril-Mayo'!$Q9</f>
        <v>450</v>
      </c>
      <c r="S9" s="10">
        <f>'Abril-Mayo'!$R9-'Abril-Mayo'!$O9</f>
        <v>154.478</v>
      </c>
      <c r="T9" s="12">
        <f>(('Abril-Mayo'!$Q9-'Abril-Mayo'!$P9)/'Abril-Mayo'!$P9)</f>
        <v>0.5227292723</v>
      </c>
      <c r="U9" s="12">
        <f>(('Abril-Mayo'!$Q9-'Abril-Mayo'!$P9)/'Abril-Mayo'!$Q9)</f>
        <v>0.3432844444</v>
      </c>
      <c r="V9" s="13" t="s">
        <v>79</v>
      </c>
      <c r="W9" s="18">
        <v>1688.0</v>
      </c>
    </row>
    <row r="10">
      <c r="A10" s="45" t="s">
        <v>81</v>
      </c>
      <c r="B10" s="10">
        <v>0.3</v>
      </c>
      <c r="C10" s="10">
        <f>'Abril-Mayo'!$B10*2.2</f>
        <v>0.66</v>
      </c>
      <c r="D10" s="10">
        <f>'Abril-Mayo'!$F10*'Abril-Mayo'!$B10</f>
        <v>1.2</v>
      </c>
      <c r="E10" s="10">
        <f>'Abril-Mayo'!$D10*2.2</f>
        <v>2.64</v>
      </c>
      <c r="F10" s="47">
        <v>4.0</v>
      </c>
      <c r="G10" s="46">
        <v>4.71</v>
      </c>
      <c r="H10" s="10">
        <f>'Abril-Mayo'!$F10*'Abril-Mayo'!$G10+20</f>
        <v>38.84</v>
      </c>
      <c r="I10" s="10">
        <f>'Abril-Mayo'!$H10*0.06</f>
        <v>2.3304</v>
      </c>
      <c r="J10" s="46">
        <v>1.1</v>
      </c>
      <c r="K10" s="10">
        <f>SUM('Abril-Mayo'!$H10,'Abril-Mayo'!$I10,'Abril-Mayo'!$J10)</f>
        <v>42.2704</v>
      </c>
      <c r="L10" s="10">
        <f>1.4*'Abril-Mayo'!$E10</f>
        <v>3.696</v>
      </c>
      <c r="M10" s="10">
        <f>'Abril-Mayo'!$E10*$E$29</f>
        <v>5.28</v>
      </c>
      <c r="N10" s="10">
        <f>SUM('Abril-Mayo'!$L10,'Abril-Mayo'!$M10)</f>
        <v>8.976</v>
      </c>
      <c r="O10" s="10">
        <f>SUM('Abril-Mayo'!$N10, 'Abril-Mayo'!$H10, 'Abril-Mayo'!$I10, 'Abril-Mayo'!$J10)</f>
        <v>51.2464</v>
      </c>
      <c r="P10" s="10">
        <f>'Abril-Mayo'!$O10/'Abril-Mayo'!$F10</f>
        <v>12.8116</v>
      </c>
      <c r="Q10" s="46">
        <v>20.01</v>
      </c>
      <c r="R10" s="10">
        <f>'Abril-Mayo'!$F10*'Abril-Mayo'!$Q10</f>
        <v>80.04</v>
      </c>
      <c r="S10" s="10">
        <f>'Abril-Mayo'!$R10-'Abril-Mayo'!$O10</f>
        <v>28.7936</v>
      </c>
      <c r="T10" s="12">
        <f>(('Abril-Mayo'!$Q10-'Abril-Mayo'!$P10)/'Abril-Mayo'!$P10)</f>
        <v>0.5618658091</v>
      </c>
      <c r="U10" s="12">
        <f>(('Abril-Mayo'!$Q10-'Abril-Mayo'!$P10)/'Abril-Mayo'!$Q10)</f>
        <v>0.3597401299</v>
      </c>
      <c r="V10" s="13" t="s">
        <v>79</v>
      </c>
      <c r="W10" s="18">
        <v>1688.0</v>
      </c>
    </row>
    <row r="11">
      <c r="A11" s="45" t="s">
        <v>82</v>
      </c>
      <c r="B11" s="10">
        <v>0.2</v>
      </c>
      <c r="C11" s="10">
        <f>'Abril-Mayo'!$B11*2.2</f>
        <v>0.44</v>
      </c>
      <c r="D11" s="10">
        <f>'Abril-Mayo'!$F11*'Abril-Mayo'!$B11</f>
        <v>4</v>
      </c>
      <c r="E11" s="10">
        <f>'Abril-Mayo'!$D11*2.2</f>
        <v>8.8</v>
      </c>
      <c r="F11" s="11">
        <v>20.0</v>
      </c>
      <c r="G11" s="46">
        <v>1.59</v>
      </c>
      <c r="H11" s="10">
        <f>'Abril-Mayo'!$F11*'Abril-Mayo'!$G11+20</f>
        <v>51.8</v>
      </c>
      <c r="I11" s="10">
        <f>'Abril-Mayo'!$H11*0.06</f>
        <v>3.108</v>
      </c>
      <c r="J11" s="46">
        <v>2.94</v>
      </c>
      <c r="K11" s="10">
        <f>SUM('Abril-Mayo'!$H11,'Abril-Mayo'!$I11,'Abril-Mayo'!$J11)</f>
        <v>57.848</v>
      </c>
      <c r="L11" s="10">
        <f>1.4*'Abril-Mayo'!$E11</f>
        <v>12.32</v>
      </c>
      <c r="M11" s="10">
        <f>'Abril-Mayo'!$E11*$E$29</f>
        <v>17.6</v>
      </c>
      <c r="N11" s="10">
        <f>SUM('Abril-Mayo'!$L11,'Abril-Mayo'!$M11)</f>
        <v>29.92</v>
      </c>
      <c r="O11" s="10">
        <f>SUM('Abril-Mayo'!$N11, 'Abril-Mayo'!$H11, 'Abril-Mayo'!$I11, 'Abril-Mayo'!$J11)</f>
        <v>87.768</v>
      </c>
      <c r="P11" s="10">
        <f>'Abril-Mayo'!$O11/'Abril-Mayo'!$F11</f>
        <v>4.3884</v>
      </c>
      <c r="Q11" s="46">
        <v>8.64</v>
      </c>
      <c r="R11" s="10">
        <f>'Abril-Mayo'!$F11*'Abril-Mayo'!$Q11</f>
        <v>172.8</v>
      </c>
      <c r="S11" s="10">
        <f>'Abril-Mayo'!$R11-'Abril-Mayo'!$O11</f>
        <v>85.032</v>
      </c>
      <c r="T11" s="12">
        <f>(('Abril-Mayo'!$Q11-'Abril-Mayo'!$P11)/'Abril-Mayo'!$P11)</f>
        <v>0.9688269073</v>
      </c>
      <c r="U11" s="12">
        <f>(('Abril-Mayo'!$Q11-'Abril-Mayo'!$P11)/'Abril-Mayo'!$Q11)</f>
        <v>0.4920833333</v>
      </c>
      <c r="V11" s="13"/>
      <c r="W11" s="18">
        <v>1688.0</v>
      </c>
    </row>
    <row r="12">
      <c r="A12" s="45" t="s">
        <v>83</v>
      </c>
      <c r="B12" s="10">
        <v>0.2</v>
      </c>
      <c r="C12" s="10">
        <f>'Abril-Mayo'!$B12*2.2</f>
        <v>0.44</v>
      </c>
      <c r="D12" s="10">
        <f>'Abril-Mayo'!$F12*'Abril-Mayo'!$B12</f>
        <v>3.2</v>
      </c>
      <c r="E12" s="10">
        <f>'Abril-Mayo'!$D12*2.2</f>
        <v>7.04</v>
      </c>
      <c r="F12" s="11">
        <v>16.0</v>
      </c>
      <c r="G12" s="46">
        <v>3.83</v>
      </c>
      <c r="H12" s="10">
        <f>'Abril-Mayo'!$F12*'Abril-Mayo'!$G12+20</f>
        <v>81.28</v>
      </c>
      <c r="I12" s="10">
        <f>'Abril-Mayo'!$H12*0.06</f>
        <v>4.8768</v>
      </c>
      <c r="J12" s="46">
        <v>6.33</v>
      </c>
      <c r="K12" s="10">
        <f>SUM('Abril-Mayo'!$H12,'Abril-Mayo'!$I12,'Abril-Mayo'!$J12)</f>
        <v>92.4868</v>
      </c>
      <c r="L12" s="10">
        <f>1.4*'Abril-Mayo'!$E12</f>
        <v>9.856</v>
      </c>
      <c r="M12" s="10">
        <f>'Abril-Mayo'!$E12*$E$29</f>
        <v>14.08</v>
      </c>
      <c r="N12" s="10">
        <f>SUM('Abril-Mayo'!$L12,'Abril-Mayo'!$M12)</f>
        <v>23.936</v>
      </c>
      <c r="O12" s="10">
        <f>SUM('Abril-Mayo'!$N12, 'Abril-Mayo'!$H12, 'Abril-Mayo'!$I12, 'Abril-Mayo'!$J12)</f>
        <v>116.4228</v>
      </c>
      <c r="P12" s="10">
        <f>'Abril-Mayo'!$O12/'Abril-Mayo'!$F12</f>
        <v>7.276425</v>
      </c>
      <c r="Q12" s="46">
        <v>12.16</v>
      </c>
      <c r="R12" s="10">
        <f>'Abril-Mayo'!$F12*'Abril-Mayo'!$Q12</f>
        <v>194.56</v>
      </c>
      <c r="S12" s="10">
        <f>'Abril-Mayo'!$R12-'Abril-Mayo'!$O12</f>
        <v>78.1372</v>
      </c>
      <c r="T12" s="12">
        <f>(('Abril-Mayo'!$Q12-'Abril-Mayo'!$P12)/'Abril-Mayo'!$P12)</f>
        <v>0.6711503245</v>
      </c>
      <c r="U12" s="12">
        <f>(('Abril-Mayo'!$Q12-'Abril-Mayo'!$P12)/'Abril-Mayo'!$Q12)</f>
        <v>0.4016097862</v>
      </c>
      <c r="V12" s="13" t="s">
        <v>24</v>
      </c>
      <c r="W12" s="18">
        <v>1688.0</v>
      </c>
    </row>
    <row r="13">
      <c r="A13" s="45" t="s">
        <v>84</v>
      </c>
      <c r="B13" s="10">
        <v>0.3</v>
      </c>
      <c r="C13" s="10">
        <f>'Abril-Mayo'!$B13*2.2</f>
        <v>0.66</v>
      </c>
      <c r="D13" s="10">
        <f>'Abril-Mayo'!$F13*'Abril-Mayo'!$B13</f>
        <v>9</v>
      </c>
      <c r="E13" s="10">
        <f>'Abril-Mayo'!$D13*2.2</f>
        <v>19.8</v>
      </c>
      <c r="F13" s="11">
        <v>30.0</v>
      </c>
      <c r="G13" s="46">
        <v>3.06</v>
      </c>
      <c r="H13" s="10">
        <f>'Abril-Mayo'!$F13*'Abril-Mayo'!$G13+20</f>
        <v>111.8</v>
      </c>
      <c r="I13" s="10">
        <f>'Abril-Mayo'!$H13*0.06</f>
        <v>6.708</v>
      </c>
      <c r="J13" s="46">
        <v>2.94</v>
      </c>
      <c r="K13" s="10">
        <f>SUM('Abril-Mayo'!$H13,'Abril-Mayo'!$I13,'Abril-Mayo'!$J13)</f>
        <v>121.448</v>
      </c>
      <c r="L13" s="10">
        <f>1.4*'Abril-Mayo'!$E13</f>
        <v>27.72</v>
      </c>
      <c r="M13" s="10">
        <f>'Abril-Mayo'!$E13*$E$29</f>
        <v>39.6</v>
      </c>
      <c r="N13" s="10">
        <f>SUM('Abril-Mayo'!$L13,'Abril-Mayo'!$M13)</f>
        <v>67.32</v>
      </c>
      <c r="O13" s="10">
        <f>SUM('Abril-Mayo'!$N13, 'Abril-Mayo'!$H13, 'Abril-Mayo'!$I13, 'Abril-Mayo'!$J13)</f>
        <v>188.768</v>
      </c>
      <c r="P13" s="10">
        <f>'Abril-Mayo'!$O13/'Abril-Mayo'!$F13</f>
        <v>6.292266667</v>
      </c>
      <c r="Q13" s="46">
        <v>12.16</v>
      </c>
      <c r="R13" s="10">
        <f>'Abril-Mayo'!$F13*'Abril-Mayo'!$Q13</f>
        <v>364.8</v>
      </c>
      <c r="S13" s="10">
        <f>'Abril-Mayo'!$R13-'Abril-Mayo'!$O13</f>
        <v>176.032</v>
      </c>
      <c r="T13" s="12">
        <f>(('Abril-Mayo'!$Q13-'Abril-Mayo'!$P13)/'Abril-Mayo'!$P13)</f>
        <v>0.9325309374</v>
      </c>
      <c r="U13" s="12">
        <f>(('Abril-Mayo'!$Q13-'Abril-Mayo'!$P13)/'Abril-Mayo'!$Q13)</f>
        <v>0.4825438596</v>
      </c>
      <c r="V13" s="13" t="s">
        <v>24</v>
      </c>
      <c r="W13" s="18">
        <v>1688.0</v>
      </c>
    </row>
    <row r="14">
      <c r="A14" s="45" t="s">
        <v>85</v>
      </c>
      <c r="B14" s="10"/>
      <c r="C14" s="10"/>
      <c r="D14" s="10"/>
      <c r="E14" s="10"/>
      <c r="F14" s="47"/>
      <c r="G14" s="10"/>
      <c r="H14" s="10"/>
      <c r="I14" s="10">
        <f>'Abril-Mayo'!$H14*0.06</f>
        <v>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2"/>
      <c r="U14" s="12"/>
      <c r="V14" s="48"/>
      <c r="W14" s="18"/>
    </row>
    <row r="15">
      <c r="A15" s="45" t="s">
        <v>86</v>
      </c>
      <c r="B15" s="10">
        <v>0.1</v>
      </c>
      <c r="C15" s="10">
        <f>'Abril-Mayo'!$B15*2.2</f>
        <v>0.22</v>
      </c>
      <c r="D15" s="10">
        <f>'Abril-Mayo'!$F15*'Abril-Mayo'!$B15</f>
        <v>2</v>
      </c>
      <c r="E15" s="10">
        <f>'Abril-Mayo'!$D15*2.2</f>
        <v>4.4</v>
      </c>
      <c r="F15" s="11">
        <v>20.0</v>
      </c>
      <c r="G15" s="46">
        <v>1.55</v>
      </c>
      <c r="H15" s="10">
        <f>'Abril-Mayo'!$F15*'Abril-Mayo'!$G15+20</f>
        <v>51</v>
      </c>
      <c r="I15" s="10">
        <f>'Abril-Mayo'!$H15*0.06</f>
        <v>3.06</v>
      </c>
      <c r="J15" s="46">
        <v>2.95</v>
      </c>
      <c r="K15" s="10">
        <f>SUM('Abril-Mayo'!$H15,'Abril-Mayo'!$I15,'Abril-Mayo'!$J15)</f>
        <v>57.01</v>
      </c>
      <c r="L15" s="10">
        <f>1.4*'Abril-Mayo'!$E15</f>
        <v>6.16</v>
      </c>
      <c r="M15" s="10">
        <f>'Abril-Mayo'!$E15*$E$29</f>
        <v>8.8</v>
      </c>
      <c r="N15" s="10">
        <f>SUM('Abril-Mayo'!$L15,'Abril-Mayo'!$M15)</f>
        <v>14.96</v>
      </c>
      <c r="O15" s="10">
        <f>SUM('Abril-Mayo'!$N15, 'Abril-Mayo'!$H15, 'Abril-Mayo'!$I15, 'Abril-Mayo'!$J15)</f>
        <v>71.97</v>
      </c>
      <c r="P15" s="10">
        <f>'Abril-Mayo'!$O15/'Abril-Mayo'!$F15</f>
        <v>3.5985</v>
      </c>
      <c r="Q15" s="46">
        <v>10.81</v>
      </c>
      <c r="R15" s="10">
        <f>'Abril-Mayo'!$F15*'Abril-Mayo'!$Q15</f>
        <v>216.2</v>
      </c>
      <c r="S15" s="10">
        <f>'Abril-Mayo'!$R15-'Abril-Mayo'!$O15</f>
        <v>144.23</v>
      </c>
      <c r="T15" s="12">
        <f>(('Abril-Mayo'!$Q15-'Abril-Mayo'!$P15)/'Abril-Mayo'!$P15)</f>
        <v>2.004029457</v>
      </c>
      <c r="U15" s="12">
        <f>(('Abril-Mayo'!$Q15-'Abril-Mayo'!$P15)/'Abril-Mayo'!$Q15)</f>
        <v>0.6671137835</v>
      </c>
      <c r="V15" s="13" t="s">
        <v>24</v>
      </c>
      <c r="W15" s="18">
        <v>1688.0</v>
      </c>
    </row>
    <row r="16">
      <c r="A16" s="9" t="s">
        <v>87</v>
      </c>
      <c r="B16" s="10">
        <v>0.2</v>
      </c>
      <c r="C16" s="10">
        <f>'Abril-Mayo'!$B16*2.2</f>
        <v>0.44</v>
      </c>
      <c r="D16" s="10">
        <f>'Abril-Mayo'!$F16*'Abril-Mayo'!$B16</f>
        <v>5</v>
      </c>
      <c r="E16" s="10">
        <f>'Abril-Mayo'!$D16*2.2</f>
        <v>11</v>
      </c>
      <c r="F16" s="11">
        <v>25.0</v>
      </c>
      <c r="G16" s="46">
        <v>2.03</v>
      </c>
      <c r="H16" s="10">
        <f>'Abril-Mayo'!$F16*'Abril-Mayo'!$G16+20</f>
        <v>70.75</v>
      </c>
      <c r="I16" s="10">
        <f>'Abril-Mayo'!$H16*0.06</f>
        <v>4.245</v>
      </c>
      <c r="J16" s="46">
        <v>2.94</v>
      </c>
      <c r="K16" s="10">
        <f>SUM('Abril-Mayo'!$H16,'Abril-Mayo'!$I16,'Abril-Mayo'!$J16)</f>
        <v>77.935</v>
      </c>
      <c r="L16" s="10">
        <f>1.4*'Abril-Mayo'!$E16</f>
        <v>15.4</v>
      </c>
      <c r="M16" s="10">
        <f>'Abril-Mayo'!$E16*$E$29</f>
        <v>22</v>
      </c>
      <c r="N16" s="10">
        <f>SUM('Abril-Mayo'!$L16,'Abril-Mayo'!$M16)</f>
        <v>37.4</v>
      </c>
      <c r="O16" s="10">
        <f>SUM('Abril-Mayo'!$N16, 'Abril-Mayo'!$H16, 'Abril-Mayo'!$I16, 'Abril-Mayo'!$J16)</f>
        <v>115.335</v>
      </c>
      <c r="P16" s="10">
        <f>'Abril-Mayo'!$O16/'Abril-Mayo'!$F16</f>
        <v>4.6134</v>
      </c>
      <c r="Q16" s="46">
        <v>9.45</v>
      </c>
      <c r="R16" s="10">
        <f>'Abril-Mayo'!$F16*'Abril-Mayo'!$Q16</f>
        <v>236.25</v>
      </c>
      <c r="S16" s="10">
        <f>'Abril-Mayo'!$R16-'Abril-Mayo'!$O16</f>
        <v>120.915</v>
      </c>
      <c r="T16" s="12">
        <f>(('Abril-Mayo'!$Q16-'Abril-Mayo'!$P16)/'Abril-Mayo'!$P16)</f>
        <v>1.048380804</v>
      </c>
      <c r="U16" s="12">
        <f>(('Abril-Mayo'!$Q16-'Abril-Mayo'!$P16)/'Abril-Mayo'!$Q16)</f>
        <v>0.5118095238</v>
      </c>
      <c r="V16" s="13"/>
      <c r="W16" s="18">
        <v>1689.0</v>
      </c>
    </row>
    <row r="17">
      <c r="A17" s="9"/>
      <c r="B17" s="10"/>
      <c r="C17" s="10"/>
      <c r="D17" s="10"/>
      <c r="E17" s="10"/>
      <c r="F17" s="1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2"/>
      <c r="U17" s="12"/>
      <c r="V17" s="18"/>
      <c r="W17" s="18"/>
    </row>
    <row r="18">
      <c r="A18" s="14" t="s">
        <v>25</v>
      </c>
      <c r="B18" s="15">
        <f>SUM(B8:B16)</f>
        <v>2</v>
      </c>
      <c r="C18" s="15">
        <f>'Abril-Mayo'!$B18*2.2</f>
        <v>4.4</v>
      </c>
      <c r="D18" s="15">
        <f t="shared" ref="D18:H18" si="1">SUM(D8:D16)</f>
        <v>49.4</v>
      </c>
      <c r="E18" s="15">
        <f t="shared" si="1"/>
        <v>108.68</v>
      </c>
      <c r="F18" s="16">
        <f t="shared" si="1"/>
        <v>195</v>
      </c>
      <c r="G18" s="15">
        <f t="shared" si="1"/>
        <v>23.54</v>
      </c>
      <c r="H18" s="15">
        <f t="shared" si="1"/>
        <v>686.17</v>
      </c>
      <c r="I18" s="15">
        <f>SUM(H18,J18)*0.06</f>
        <v>42.8256</v>
      </c>
      <c r="J18" s="15">
        <f t="shared" ref="J18:K18" si="2">SUM(J8:J17)</f>
        <v>27.59</v>
      </c>
      <c r="K18" s="15">
        <f t="shared" si="2"/>
        <v>754.9302</v>
      </c>
      <c r="L18" s="15">
        <f t="shared" ref="L18:S18" si="3">SUM(L8:L16)</f>
        <v>152.152</v>
      </c>
      <c r="M18" s="15">
        <f t="shared" si="3"/>
        <v>217.36</v>
      </c>
      <c r="N18" s="15">
        <f t="shared" si="3"/>
        <v>369.512</v>
      </c>
      <c r="O18" s="15">
        <f t="shared" si="3"/>
        <v>1124.4422</v>
      </c>
      <c r="P18" s="15">
        <f t="shared" si="3"/>
        <v>52.779525</v>
      </c>
      <c r="Q18" s="15">
        <f t="shared" si="3"/>
        <v>96.87</v>
      </c>
      <c r="R18" s="15">
        <f t="shared" si="3"/>
        <v>2146.65</v>
      </c>
      <c r="S18" s="15">
        <f t="shared" si="3"/>
        <v>1022.2078</v>
      </c>
      <c r="T18" s="18"/>
      <c r="U18" s="18"/>
      <c r="V18" s="18"/>
      <c r="W18" s="18"/>
    </row>
    <row r="19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>
      <c r="A20" s="20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21"/>
      <c r="M20" s="21"/>
      <c r="N20" s="19"/>
      <c r="O20" s="19"/>
      <c r="P20" s="19"/>
      <c r="Q20" s="19"/>
      <c r="R20" s="19"/>
      <c r="S20" s="22"/>
      <c r="T20" s="22"/>
      <c r="U20" s="22"/>
    </row>
    <row r="21" ht="15.75" customHeight="1">
      <c r="S21" s="22"/>
      <c r="T21" s="22"/>
      <c r="U21" s="22"/>
    </row>
    <row r="22" ht="15.75" customHeight="1">
      <c r="F22" s="23"/>
      <c r="G22" s="23"/>
      <c r="H22" s="23"/>
    </row>
    <row r="23" ht="15.75" customHeight="1">
      <c r="F23" s="23"/>
      <c r="G23" s="23"/>
      <c r="H23" s="23"/>
    </row>
    <row r="24" ht="15.75" customHeight="1">
      <c r="F24" s="23"/>
      <c r="G24" s="23"/>
      <c r="H24" s="23"/>
    </row>
    <row r="25" ht="15.75" customHeight="1">
      <c r="D25" s="24"/>
      <c r="E25" s="23"/>
      <c r="F25" s="23"/>
      <c r="G25" s="23"/>
      <c r="H25" s="23"/>
    </row>
    <row r="26" ht="15.75" customHeight="1">
      <c r="D26" s="24"/>
      <c r="E26" s="23"/>
      <c r="F26" s="23"/>
      <c r="G26" s="23"/>
      <c r="H26" s="23"/>
    </row>
    <row r="27" ht="15.75" customHeight="1">
      <c r="A27" s="25" t="s">
        <v>26</v>
      </c>
      <c r="B27" s="25" t="s">
        <v>27</v>
      </c>
      <c r="D27" s="24"/>
      <c r="E27" s="23"/>
      <c r="F27" s="23"/>
      <c r="G27" s="26"/>
      <c r="H27" s="26"/>
      <c r="I27" s="26"/>
    </row>
    <row r="28" ht="15.75" customHeight="1">
      <c r="A28" s="27" t="s">
        <v>28</v>
      </c>
      <c r="B28" s="28">
        <f>R18</f>
        <v>2146.65</v>
      </c>
      <c r="D28" s="29" t="s">
        <v>29</v>
      </c>
      <c r="E28" s="29" t="s">
        <v>30</v>
      </c>
      <c r="F28" s="23"/>
      <c r="G28" s="30"/>
      <c r="H28" s="30"/>
      <c r="I28" s="30"/>
    </row>
    <row r="29" ht="15.75" customHeight="1">
      <c r="A29" s="31"/>
      <c r="B29" s="31"/>
      <c r="D29" s="32" t="s">
        <v>31</v>
      </c>
      <c r="E29" s="49">
        <v>2.0</v>
      </c>
      <c r="F29" s="23"/>
      <c r="G29" s="26"/>
      <c r="H29" s="26"/>
      <c r="I29" s="26"/>
    </row>
    <row r="30" ht="15.75" customHeight="1">
      <c r="A30" s="27" t="s">
        <v>32</v>
      </c>
      <c r="B30" s="31"/>
      <c r="D30" s="32" t="s">
        <v>33</v>
      </c>
      <c r="E30" s="32" t="s">
        <v>34</v>
      </c>
      <c r="F30" s="23"/>
      <c r="G30" s="30"/>
      <c r="H30" s="30"/>
      <c r="I30" s="30"/>
    </row>
    <row r="31" ht="15.75" customHeight="1">
      <c r="A31" s="31" t="s">
        <v>35</v>
      </c>
      <c r="B31" s="33">
        <f>SUM(K8:K16)</f>
        <v>754.9302</v>
      </c>
      <c r="C31" s="2"/>
      <c r="D31" s="24"/>
      <c r="E31" s="23"/>
      <c r="F31" s="23"/>
      <c r="G31" s="30"/>
      <c r="H31" s="30"/>
      <c r="I31" s="30"/>
    </row>
    <row r="32" ht="15.75" customHeight="1">
      <c r="A32" s="31" t="s">
        <v>36</v>
      </c>
      <c r="B32" s="34">
        <f>SUM(N8:N16)</f>
        <v>369.512</v>
      </c>
      <c r="C32" s="2"/>
      <c r="D32" s="24"/>
      <c r="E32" s="23"/>
      <c r="F32" s="23"/>
      <c r="G32" s="26"/>
      <c r="H32" s="26"/>
      <c r="I32" s="26"/>
    </row>
    <row r="33" ht="15.75" customHeight="1">
      <c r="A33" s="31" t="s">
        <v>37</v>
      </c>
      <c r="B33" s="50">
        <v>400.0</v>
      </c>
      <c r="C33" s="23"/>
      <c r="D33" s="23"/>
      <c r="E33" s="23"/>
      <c r="F33" s="23"/>
      <c r="G33" s="26"/>
      <c r="H33" s="26"/>
      <c r="I33" s="26"/>
    </row>
    <row r="34" ht="15.75" customHeight="1">
      <c r="A34" s="27" t="s">
        <v>38</v>
      </c>
      <c r="B34" s="35">
        <f>SUM(B31:B32)</f>
        <v>1124.4422</v>
      </c>
      <c r="C34" s="23"/>
      <c r="D34" s="23"/>
      <c r="E34" s="23"/>
      <c r="F34" s="23"/>
      <c r="G34" s="30"/>
      <c r="H34" s="30"/>
      <c r="I34" s="30"/>
    </row>
    <row r="35" ht="15.75" customHeight="1">
      <c r="A35" s="31"/>
      <c r="B35" s="31"/>
      <c r="C35" s="23"/>
      <c r="D35" s="23"/>
      <c r="E35" s="23"/>
    </row>
    <row r="36" ht="15.75" customHeight="1">
      <c r="A36" s="27" t="s">
        <v>39</v>
      </c>
      <c r="B36" s="36">
        <f>B28-B31-B32</f>
        <v>1022.2078</v>
      </c>
    </row>
    <row r="37" ht="15.75" customHeight="1">
      <c r="A37" s="27" t="s">
        <v>43</v>
      </c>
      <c r="B37" s="36">
        <f>B36-B33</f>
        <v>622.2078</v>
      </c>
    </row>
    <row r="38" ht="15.75" customHeight="1">
      <c r="A38" s="31"/>
      <c r="B38" s="31"/>
    </row>
    <row r="39" ht="15.75" customHeight="1">
      <c r="A39" s="27" t="s">
        <v>46</v>
      </c>
      <c r="B39" s="31"/>
    </row>
    <row r="40" ht="15.75" customHeight="1">
      <c r="A40" s="31" t="s">
        <v>48</v>
      </c>
      <c r="B40" s="39">
        <f>B36/B28</f>
        <v>0.4761874549</v>
      </c>
      <c r="C40" s="2"/>
      <c r="F40" s="23"/>
      <c r="G40" s="26"/>
      <c r="H40" s="40"/>
    </row>
    <row r="41" ht="15.75" customHeight="1">
      <c r="A41" s="31" t="s">
        <v>49</v>
      </c>
      <c r="B41" s="39">
        <f>B37/B28</f>
        <v>0.2898506044</v>
      </c>
      <c r="G41" s="26"/>
      <c r="H41" s="40"/>
    </row>
    <row r="42" ht="15.75" customHeight="1">
      <c r="A42" s="31" t="s">
        <v>50</v>
      </c>
      <c r="B42" s="39">
        <f>B37/B34</f>
        <v>0.5533479622</v>
      </c>
      <c r="G42" s="26"/>
      <c r="H42" s="4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I55" s="2"/>
      <c r="J55" s="2"/>
      <c r="K55" s="2"/>
    </row>
    <row r="56" ht="15.75" customHeight="1">
      <c r="I56" s="2"/>
      <c r="J56" s="2"/>
      <c r="K56" s="41"/>
    </row>
    <row r="57" ht="15.75" customHeight="1">
      <c r="I57" s="2"/>
      <c r="J57" s="2"/>
      <c r="K57" s="2"/>
    </row>
    <row r="58" ht="15.75" customHeight="1">
      <c r="J58" s="41"/>
      <c r="K58" s="2"/>
    </row>
    <row r="59" ht="15.75" customHeight="1">
      <c r="I59" s="41"/>
      <c r="J59" s="2"/>
      <c r="K59" s="2"/>
    </row>
    <row r="60" ht="15.75" customHeight="1">
      <c r="D60" s="2"/>
      <c r="E60" s="2"/>
      <c r="I60" s="2"/>
      <c r="J60" s="2"/>
      <c r="K60" s="4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B6"/>
  </mergeCells>
  <hyperlinks>
    <hyperlink r:id="rId1" ref="V8"/>
    <hyperlink r:id="rId2" ref="V9"/>
    <hyperlink r:id="rId3" ref="V10"/>
    <hyperlink r:id="rId4" ref="V12"/>
    <hyperlink r:id="rId5" ref="V13"/>
    <hyperlink r:id="rId6" ref="V15"/>
  </hyperlinks>
  <printOptions/>
  <pageMargins bottom="0.75" footer="0.0" header="0.0" left="0.7" right="0.7" top="0.75"/>
  <pageSetup orientation="landscape"/>
  <drawing r:id="rId7"/>
  <tableParts count="3"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3" t="s">
        <v>0</v>
      </c>
      <c r="G5" s="3">
        <v>36.62</v>
      </c>
      <c r="H5" s="2"/>
      <c r="I5" s="2"/>
      <c r="J5" s="2"/>
      <c r="K5" s="2"/>
    </row>
    <row r="6">
      <c r="A6" s="4" t="s">
        <v>1</v>
      </c>
      <c r="B6" s="5"/>
      <c r="C6" s="6"/>
      <c r="D6" s="6"/>
      <c r="E6" s="6"/>
      <c r="F6" s="6"/>
      <c r="G6" s="6"/>
      <c r="H6" s="6"/>
      <c r="I6" s="6"/>
      <c r="J6" s="2"/>
      <c r="K6" s="2"/>
    </row>
    <row r="7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14</v>
      </c>
      <c r="N7" s="7" t="s">
        <v>15</v>
      </c>
      <c r="O7" s="7" t="s">
        <v>16</v>
      </c>
      <c r="P7" s="7" t="s">
        <v>17</v>
      </c>
      <c r="Q7" s="8" t="s">
        <v>18</v>
      </c>
      <c r="R7" s="8" t="s">
        <v>19</v>
      </c>
      <c r="S7" s="7" t="s">
        <v>20</v>
      </c>
      <c r="T7" s="7" t="s">
        <v>21</v>
      </c>
      <c r="U7" s="7" t="s">
        <v>22</v>
      </c>
      <c r="V7" s="7" t="s">
        <v>23</v>
      </c>
      <c r="W7" s="7" t="s">
        <v>77</v>
      </c>
    </row>
    <row r="8">
      <c r="A8" s="51" t="s">
        <v>78</v>
      </c>
      <c r="B8" s="10">
        <v>0.2</v>
      </c>
      <c r="C8" s="10">
        <f>'Junio-Julio'!$B8*2.2</f>
        <v>0.44</v>
      </c>
      <c r="D8" s="10">
        <f>'Junio-Julio'!$F8*'Junio-Julio'!$B8</f>
        <v>10</v>
      </c>
      <c r="E8" s="10">
        <f>'Junio-Julio'!$D8*2.2</f>
        <v>22</v>
      </c>
      <c r="F8" s="11">
        <v>50.0</v>
      </c>
      <c r="G8" s="10">
        <v>1.86</v>
      </c>
      <c r="H8" s="10">
        <f>'Junio-Julio'!$F8*'Junio-Julio'!$G8</f>
        <v>93</v>
      </c>
      <c r="I8" s="10">
        <f>'Junio-Julio'!$H8*0.05</f>
        <v>4.65</v>
      </c>
      <c r="J8" s="10">
        <f>'Junio-Julio'!$H8*0.05</f>
        <v>4.65</v>
      </c>
      <c r="K8" s="10">
        <f>SUM('Junio-Julio'!$H8,'Junio-Julio'!$I8,'Junio-Julio'!$J8)</f>
        <v>102.3</v>
      </c>
      <c r="L8" s="10">
        <f>1.4*'Junio-Julio'!$E8</f>
        <v>30.8</v>
      </c>
      <c r="M8" s="10">
        <f>'Junio-Julio'!$E8*$E$26</f>
        <v>55</v>
      </c>
      <c r="N8" s="10">
        <f>SUM('Junio-Julio'!$L8,'Junio-Julio'!$M8)</f>
        <v>85.8</v>
      </c>
      <c r="O8" s="10">
        <f>SUM('Junio-Julio'!$N8, 'Junio-Julio'!$H8, 'Junio-Julio'!$I8, 'Junio-Julio'!$J8)</f>
        <v>188.1</v>
      </c>
      <c r="P8" s="10">
        <f>'Junio-Julio'!$O8/'Junio-Julio'!$F8</f>
        <v>3.762</v>
      </c>
      <c r="Q8" s="10">
        <v>8.15</v>
      </c>
      <c r="R8" s="10">
        <f>'Junio-Julio'!$F8*'Junio-Julio'!$Q8</f>
        <v>407.5</v>
      </c>
      <c r="S8" s="10">
        <f>'Junio-Julio'!$R8-'Junio-Julio'!$O8</f>
        <v>219.4</v>
      </c>
      <c r="T8" s="12">
        <f>(('Junio-Julio'!$Q8-'Junio-Julio'!$P8)/'Junio-Julio'!$P8)</f>
        <v>1.166400851</v>
      </c>
      <c r="U8" s="12">
        <f>(('Junio-Julio'!$Q8-'Junio-Julio'!$P8)/'Junio-Julio'!$Q8)</f>
        <v>0.538404908</v>
      </c>
      <c r="V8" s="13" t="s">
        <v>79</v>
      </c>
      <c r="W8" s="18">
        <v>1688.0</v>
      </c>
    </row>
    <row r="9">
      <c r="A9" s="51" t="s">
        <v>80</v>
      </c>
      <c r="B9" s="10">
        <v>0.5</v>
      </c>
      <c r="C9" s="10">
        <f>'Junio-Julio'!$B9*2.2</f>
        <v>1.1</v>
      </c>
      <c r="D9" s="10">
        <f>'Junio-Julio'!$F9*'Junio-Julio'!$B9</f>
        <v>15</v>
      </c>
      <c r="E9" s="10">
        <f>'Junio-Julio'!$D9*2.2</f>
        <v>33</v>
      </c>
      <c r="F9" s="11">
        <v>30.0</v>
      </c>
      <c r="G9" s="10">
        <v>4.67</v>
      </c>
      <c r="H9" s="10">
        <f>'Junio-Julio'!$F9*'Junio-Julio'!$G9</f>
        <v>140.1</v>
      </c>
      <c r="I9" s="10">
        <f>'Junio-Julio'!$H9*0.05</f>
        <v>7.005</v>
      </c>
      <c r="J9" s="10">
        <f>'Junio-Julio'!$H9*0.05</f>
        <v>7.005</v>
      </c>
      <c r="K9" s="10">
        <f>SUM('Junio-Julio'!$H9,'Junio-Julio'!$I9,'Junio-Julio'!$J9)</f>
        <v>154.11</v>
      </c>
      <c r="L9" s="10">
        <f>1.4*'Junio-Julio'!$E9</f>
        <v>46.2</v>
      </c>
      <c r="M9" s="10">
        <f>'Junio-Julio'!$E9*$E$26</f>
        <v>82.5</v>
      </c>
      <c r="N9" s="10">
        <f>SUM('Junio-Julio'!$L9,'Junio-Julio'!$M9)</f>
        <v>128.7</v>
      </c>
      <c r="O9" s="10">
        <f>SUM('Junio-Julio'!$N9, 'Junio-Julio'!$H9, 'Junio-Julio'!$I9, 'Junio-Julio'!$J9)</f>
        <v>282.81</v>
      </c>
      <c r="P9" s="10">
        <f>'Junio-Julio'!$O9/'Junio-Julio'!$F9</f>
        <v>9.427</v>
      </c>
      <c r="Q9" s="10">
        <v>15.0</v>
      </c>
      <c r="R9" s="10">
        <f>'Junio-Julio'!$F9*'Junio-Julio'!$Q9</f>
        <v>450</v>
      </c>
      <c r="S9" s="10">
        <f>'Junio-Julio'!$R9-'Junio-Julio'!$O9</f>
        <v>167.19</v>
      </c>
      <c r="T9" s="12">
        <f>(('Junio-Julio'!$Q9-'Junio-Julio'!$P9)/'Junio-Julio'!$P9)</f>
        <v>0.5911742866</v>
      </c>
      <c r="U9" s="12">
        <f>(('Junio-Julio'!$Q9-'Junio-Julio'!$P9)/'Junio-Julio'!$Q9)</f>
        <v>0.3715333333</v>
      </c>
      <c r="V9" s="13" t="s">
        <v>79</v>
      </c>
      <c r="W9" s="18">
        <v>1688.0</v>
      </c>
    </row>
    <row r="10">
      <c r="A10" s="51" t="s">
        <v>54</v>
      </c>
      <c r="B10" s="10">
        <v>0.4</v>
      </c>
      <c r="C10" s="10">
        <f>'Junio-Julio'!$B10*2.2</f>
        <v>0.88</v>
      </c>
      <c r="D10" s="10">
        <f>'Junio-Julio'!$F10*'Junio-Julio'!$B10</f>
        <v>4.8</v>
      </c>
      <c r="E10" s="10">
        <f>'Junio-Julio'!$D10*2.2</f>
        <v>10.56</v>
      </c>
      <c r="F10" s="11">
        <v>12.0</v>
      </c>
      <c r="G10" s="10">
        <v>3.77</v>
      </c>
      <c r="H10" s="10">
        <f>'Junio-Julio'!$F10*'Junio-Julio'!$G10</f>
        <v>45.24</v>
      </c>
      <c r="I10" s="10">
        <f>'Junio-Julio'!$H10*0.05</f>
        <v>2.262</v>
      </c>
      <c r="J10" s="10">
        <f>'Junio-Julio'!$H10*0.05</f>
        <v>2.262</v>
      </c>
      <c r="K10" s="10">
        <f>SUM('Junio-Julio'!$H10,'Junio-Julio'!$I10,'Junio-Julio'!$J10)</f>
        <v>49.764</v>
      </c>
      <c r="L10" s="10">
        <f>1.4*'Junio-Julio'!$E10</f>
        <v>14.784</v>
      </c>
      <c r="M10" s="10">
        <f>'Junio-Julio'!$E10*$E$26</f>
        <v>26.4</v>
      </c>
      <c r="N10" s="10">
        <f>SUM('Junio-Julio'!$L10,'Junio-Julio'!$M10)</f>
        <v>41.184</v>
      </c>
      <c r="O10" s="10">
        <f>SUM('Junio-Julio'!$N10, 'Junio-Julio'!$H10, 'Junio-Julio'!$I10, 'Junio-Julio'!$J10)</f>
        <v>90.948</v>
      </c>
      <c r="P10" s="10">
        <f>'Junio-Julio'!$O10/'Junio-Julio'!$F10</f>
        <v>7.579</v>
      </c>
      <c r="Q10" s="10">
        <v>16.36</v>
      </c>
      <c r="R10" s="10">
        <f>'Junio-Julio'!$F10*'Junio-Julio'!$Q10</f>
        <v>196.32</v>
      </c>
      <c r="S10" s="10">
        <f>'Junio-Julio'!$R10-'Junio-Julio'!$O10</f>
        <v>105.372</v>
      </c>
      <c r="T10" s="12">
        <f>(('Junio-Julio'!$Q10-'Junio-Julio'!$P10)/'Junio-Julio'!$P10)</f>
        <v>1.158596121</v>
      </c>
      <c r="U10" s="12">
        <f>(('Junio-Julio'!$Q10-'Junio-Julio'!$P10)/'Junio-Julio'!$Q10)</f>
        <v>0.5367359413</v>
      </c>
      <c r="V10" s="13" t="s">
        <v>24</v>
      </c>
      <c r="W10" s="18">
        <v>1688.0</v>
      </c>
    </row>
    <row r="11">
      <c r="A11" s="51" t="s">
        <v>84</v>
      </c>
      <c r="B11" s="10">
        <v>0.3</v>
      </c>
      <c r="C11" s="10">
        <f>'Junio-Julio'!$B11*2.2</f>
        <v>0.66</v>
      </c>
      <c r="D11" s="10">
        <f>'Junio-Julio'!$F11*'Junio-Julio'!$B11</f>
        <v>9</v>
      </c>
      <c r="E11" s="10">
        <f>'Junio-Julio'!$D11*2.2</f>
        <v>19.8</v>
      </c>
      <c r="F11" s="11">
        <v>30.0</v>
      </c>
      <c r="G11" s="10">
        <v>3.01</v>
      </c>
      <c r="H11" s="10">
        <f>'Junio-Julio'!$F11*'Junio-Julio'!$G11</f>
        <v>90.3</v>
      </c>
      <c r="I11" s="10">
        <f>'Junio-Julio'!$H11*0.05</f>
        <v>4.515</v>
      </c>
      <c r="J11" s="10">
        <f>'Junio-Julio'!$H11*0.05</f>
        <v>4.515</v>
      </c>
      <c r="K11" s="10">
        <f>SUM('Junio-Julio'!$H11,'Junio-Julio'!$I11,'Junio-Julio'!$J11)</f>
        <v>99.33</v>
      </c>
      <c r="L11" s="10">
        <f>1.4*'Junio-Julio'!$E11</f>
        <v>27.72</v>
      </c>
      <c r="M11" s="10">
        <f>'Junio-Julio'!$E11*$E$26</f>
        <v>49.5</v>
      </c>
      <c r="N11" s="10">
        <f>SUM('Junio-Julio'!$L11,'Junio-Julio'!$M11)</f>
        <v>77.22</v>
      </c>
      <c r="O11" s="10">
        <f>SUM('Junio-Julio'!$N11, 'Junio-Julio'!$H11, 'Junio-Julio'!$I11, 'Junio-Julio'!$J11)</f>
        <v>176.55</v>
      </c>
      <c r="P11" s="10">
        <f>'Junio-Julio'!$O11/'Junio-Julio'!$F11</f>
        <v>5.885</v>
      </c>
      <c r="Q11" s="10">
        <v>10.0</v>
      </c>
      <c r="R11" s="10">
        <f>'Junio-Julio'!$F11*'Junio-Julio'!$Q11</f>
        <v>300</v>
      </c>
      <c r="S11" s="10">
        <f>'Junio-Julio'!$R11-'Junio-Julio'!$O11</f>
        <v>123.45</v>
      </c>
      <c r="T11" s="12">
        <f>(('Junio-Julio'!$Q11-'Junio-Julio'!$P11)/'Junio-Julio'!$P11)</f>
        <v>0.6992353441</v>
      </c>
      <c r="U11" s="12">
        <f>(('Junio-Julio'!$Q11-'Junio-Julio'!$P11)/'Junio-Julio'!$Q11)</f>
        <v>0.4115</v>
      </c>
      <c r="V11" s="13" t="s">
        <v>24</v>
      </c>
      <c r="W11" s="18">
        <v>1688.0</v>
      </c>
    </row>
    <row r="12">
      <c r="A12" s="51" t="s">
        <v>88</v>
      </c>
      <c r="B12" s="10">
        <v>0.5</v>
      </c>
      <c r="C12" s="10">
        <f>'Junio-Julio'!$B12*2.2</f>
        <v>1.1</v>
      </c>
      <c r="D12" s="10">
        <f>'Junio-Julio'!$F12*'Junio-Julio'!$B12</f>
        <v>15</v>
      </c>
      <c r="E12" s="10">
        <f>'Junio-Julio'!$D12*2.2</f>
        <v>33</v>
      </c>
      <c r="F12" s="11">
        <v>30.0</v>
      </c>
      <c r="G12" s="10">
        <v>5.06</v>
      </c>
      <c r="H12" s="10">
        <f>'Junio-Julio'!$F12*'Junio-Julio'!$G12</f>
        <v>151.8</v>
      </c>
      <c r="I12" s="10">
        <f>'Junio-Julio'!$H12*0.05</f>
        <v>7.59</v>
      </c>
      <c r="J12" s="10">
        <f>'Junio-Julio'!$H12*0.05</f>
        <v>7.59</v>
      </c>
      <c r="K12" s="10">
        <f>SUM('Junio-Julio'!$H12,'Junio-Julio'!$I12,'Junio-Julio'!$J12)</f>
        <v>166.98</v>
      </c>
      <c r="L12" s="10">
        <f>1.4*'Junio-Julio'!$E12</f>
        <v>46.2</v>
      </c>
      <c r="M12" s="10">
        <f>'Junio-Julio'!$E12*$E$26</f>
        <v>82.5</v>
      </c>
      <c r="N12" s="10">
        <f>SUM('Junio-Julio'!$L12,'Junio-Julio'!$M12)</f>
        <v>128.7</v>
      </c>
      <c r="O12" s="10">
        <f>SUM('Junio-Julio'!$N12, 'Junio-Julio'!$H12, 'Junio-Julio'!$I12, 'Junio-Julio'!$J12)</f>
        <v>295.68</v>
      </c>
      <c r="P12" s="10">
        <f>'Junio-Julio'!$O12/'Junio-Julio'!$F12</f>
        <v>9.856</v>
      </c>
      <c r="Q12" s="10">
        <v>13.63</v>
      </c>
      <c r="R12" s="10">
        <f>'Junio-Julio'!$F12*'Junio-Julio'!$Q12</f>
        <v>408.9</v>
      </c>
      <c r="S12" s="10">
        <f>'Junio-Julio'!$R12-'Junio-Julio'!$O12</f>
        <v>113.22</v>
      </c>
      <c r="T12" s="12">
        <f>(('Junio-Julio'!$Q12-'Junio-Julio'!$P12)/'Junio-Julio'!$P12)</f>
        <v>0.382913961</v>
      </c>
      <c r="U12" s="12">
        <f>(('Junio-Julio'!$Q12-'Junio-Julio'!$P12)/'Junio-Julio'!$Q12)</f>
        <v>0.276889215</v>
      </c>
      <c r="V12" s="13" t="s">
        <v>79</v>
      </c>
      <c r="W12" s="18">
        <v>1688.0</v>
      </c>
    </row>
    <row r="13">
      <c r="A13" s="51" t="s">
        <v>87</v>
      </c>
      <c r="B13" s="10">
        <v>0.3</v>
      </c>
      <c r="C13" s="10">
        <f>'Junio-Julio'!$B13*2.2</f>
        <v>0.66</v>
      </c>
      <c r="D13" s="10">
        <f>'Junio-Julio'!$F13*'Junio-Julio'!$B13</f>
        <v>9</v>
      </c>
      <c r="E13" s="10">
        <f>'Junio-Julio'!$D13*2.2</f>
        <v>19.8</v>
      </c>
      <c r="F13" s="11">
        <v>30.0</v>
      </c>
      <c r="G13" s="10">
        <v>2.0</v>
      </c>
      <c r="H13" s="10">
        <f>'Junio-Julio'!$F13*'Junio-Julio'!$G13</f>
        <v>60</v>
      </c>
      <c r="I13" s="10">
        <f>'Junio-Julio'!$H13*0.05</f>
        <v>3</v>
      </c>
      <c r="J13" s="10">
        <f>'Junio-Julio'!$H13*0.05</f>
        <v>3</v>
      </c>
      <c r="K13" s="10">
        <f>SUM('Junio-Julio'!$H13,'Junio-Julio'!$I13,'Junio-Julio'!$J13)</f>
        <v>66</v>
      </c>
      <c r="L13" s="10">
        <f>1.4*'Junio-Julio'!$E13</f>
        <v>27.72</v>
      </c>
      <c r="M13" s="10">
        <f>'Junio-Julio'!$E13*$E$26</f>
        <v>49.5</v>
      </c>
      <c r="N13" s="10">
        <f>SUM('Junio-Julio'!$L13,'Junio-Julio'!$M13)</f>
        <v>77.22</v>
      </c>
      <c r="O13" s="10">
        <f>SUM('Junio-Julio'!$N13, 'Junio-Julio'!$H13, 'Junio-Julio'!$I13, 'Junio-Julio'!$J13)</f>
        <v>143.22</v>
      </c>
      <c r="P13" s="10">
        <f>'Junio-Julio'!$O13/'Junio-Julio'!$F13</f>
        <v>4.774</v>
      </c>
      <c r="Q13" s="10">
        <v>8.15</v>
      </c>
      <c r="R13" s="10">
        <f>'Junio-Julio'!$F13*'Junio-Julio'!$Q13</f>
        <v>244.5</v>
      </c>
      <c r="S13" s="10">
        <f>'Junio-Julio'!$R13-'Junio-Julio'!$O13</f>
        <v>101.28</v>
      </c>
      <c r="T13" s="12">
        <f>(('Junio-Julio'!$Q13-'Junio-Julio'!$P13)/'Junio-Julio'!$P13)</f>
        <v>0.7071638039</v>
      </c>
      <c r="U13" s="12">
        <f>(('Junio-Julio'!$Q13-'Junio-Julio'!$P13)/'Junio-Julio'!$Q13)</f>
        <v>0.4142331288</v>
      </c>
      <c r="V13" s="13" t="s">
        <v>24</v>
      </c>
      <c r="W13" s="18">
        <v>1689.0</v>
      </c>
    </row>
    <row r="14">
      <c r="A14" s="9" t="s">
        <v>89</v>
      </c>
      <c r="B14" s="10"/>
      <c r="C14" s="10"/>
      <c r="D14" s="10"/>
      <c r="E14" s="10"/>
      <c r="F14" s="1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2"/>
      <c r="U14" s="12"/>
      <c r="V14" s="18"/>
      <c r="W14" s="18"/>
    </row>
    <row r="15">
      <c r="A15" s="14" t="s">
        <v>25</v>
      </c>
      <c r="B15" s="15">
        <f>SUM(B8:B13)</f>
        <v>2.2</v>
      </c>
      <c r="C15" s="15">
        <f>'Junio-Julio'!$B15*2.2</f>
        <v>4.84</v>
      </c>
      <c r="D15" s="15">
        <f t="shared" ref="D15:H15" si="1">SUM(D8:D13)</f>
        <v>62.8</v>
      </c>
      <c r="E15" s="15">
        <f t="shared" si="1"/>
        <v>138.16</v>
      </c>
      <c r="F15" s="16">
        <f t="shared" si="1"/>
        <v>182</v>
      </c>
      <c r="G15" s="15">
        <f t="shared" si="1"/>
        <v>20.37</v>
      </c>
      <c r="H15" s="15">
        <f t="shared" si="1"/>
        <v>580.44</v>
      </c>
      <c r="I15" s="15">
        <f>'Junio-Julio'!$H15*0.05</f>
        <v>29.022</v>
      </c>
      <c r="J15" s="15">
        <f>'Junio-Julio'!$H15*0.05</f>
        <v>29.022</v>
      </c>
      <c r="K15" s="15">
        <f>SUM('Junio-Julio'!$H15,'Junio-Julio'!$I15,'Junio-Julio'!$J15)</f>
        <v>638.484</v>
      </c>
      <c r="L15" s="15">
        <f t="shared" ref="L15:S15" si="2">SUM(L8:L13)</f>
        <v>193.424</v>
      </c>
      <c r="M15" s="15">
        <f t="shared" si="2"/>
        <v>345.4</v>
      </c>
      <c r="N15" s="15">
        <f t="shared" si="2"/>
        <v>538.824</v>
      </c>
      <c r="O15" s="15">
        <f t="shared" si="2"/>
        <v>1177.308</v>
      </c>
      <c r="P15" s="15">
        <f t="shared" si="2"/>
        <v>41.283</v>
      </c>
      <c r="Q15" s="15">
        <f t="shared" si="2"/>
        <v>71.29</v>
      </c>
      <c r="R15" s="15">
        <f t="shared" si="2"/>
        <v>2007.22</v>
      </c>
      <c r="S15" s="15">
        <f t="shared" si="2"/>
        <v>829.912</v>
      </c>
      <c r="T15" s="18"/>
      <c r="U15" s="18"/>
      <c r="V15" s="18"/>
      <c r="W15" s="18"/>
    </row>
    <row r="16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>
      <c r="A17" s="20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1"/>
      <c r="M17" s="21"/>
      <c r="N17" s="19"/>
      <c r="O17" s="19"/>
      <c r="P17" s="19"/>
      <c r="Q17" s="19"/>
      <c r="R17" s="19"/>
      <c r="S17" s="22"/>
      <c r="T17" s="22"/>
      <c r="U17" s="22"/>
    </row>
    <row r="18">
      <c r="S18" s="22"/>
      <c r="T18" s="22"/>
      <c r="U18" s="22"/>
    </row>
    <row r="19">
      <c r="F19" s="23"/>
      <c r="G19" s="23"/>
      <c r="H19" s="23"/>
    </row>
    <row r="20">
      <c r="F20" s="23"/>
      <c r="G20" s="23"/>
      <c r="H20" s="23"/>
    </row>
    <row r="21" ht="15.75" customHeight="1">
      <c r="F21" s="23"/>
      <c r="G21" s="23"/>
      <c r="H21" s="23"/>
    </row>
    <row r="22" ht="15.75" customHeight="1">
      <c r="D22" s="24"/>
      <c r="E22" s="23"/>
      <c r="F22" s="23"/>
      <c r="G22" s="23"/>
      <c r="H22" s="23"/>
    </row>
    <row r="23" ht="15.75" customHeight="1">
      <c r="D23" s="24"/>
      <c r="E23" s="23"/>
      <c r="F23" s="23"/>
      <c r="G23" s="23"/>
      <c r="H23" s="23"/>
    </row>
    <row r="24" ht="15.75" customHeight="1">
      <c r="A24" s="25" t="s">
        <v>26</v>
      </c>
      <c r="B24" s="25" t="s">
        <v>27</v>
      </c>
      <c r="D24" s="24"/>
      <c r="E24" s="23"/>
      <c r="F24" s="23"/>
      <c r="G24" s="26"/>
      <c r="H24" s="26"/>
      <c r="I24" s="26"/>
    </row>
    <row r="25" ht="15.75" customHeight="1">
      <c r="A25" s="27" t="s">
        <v>28</v>
      </c>
      <c r="B25" s="28">
        <f>R15</f>
        <v>2007.22</v>
      </c>
      <c r="D25" s="29" t="s">
        <v>29</v>
      </c>
      <c r="E25" s="29" t="s">
        <v>30</v>
      </c>
      <c r="F25" s="23"/>
      <c r="G25" s="30"/>
      <c r="H25" s="30"/>
      <c r="I25" s="30"/>
    </row>
    <row r="26" ht="15.75" customHeight="1">
      <c r="A26" s="31"/>
      <c r="B26" s="31"/>
      <c r="D26" s="32" t="s">
        <v>31</v>
      </c>
      <c r="E26" s="32">
        <v>2.5</v>
      </c>
      <c r="F26" s="23"/>
      <c r="G26" s="26"/>
      <c r="H26" s="26"/>
      <c r="I26" s="26"/>
    </row>
    <row r="27" ht="15.75" customHeight="1">
      <c r="A27" s="27" t="s">
        <v>32</v>
      </c>
      <c r="B27" s="31"/>
      <c r="D27" s="32" t="s">
        <v>33</v>
      </c>
      <c r="E27" s="32" t="s">
        <v>34</v>
      </c>
      <c r="F27" s="23"/>
      <c r="G27" s="30"/>
      <c r="H27" s="30"/>
      <c r="I27" s="30"/>
    </row>
    <row r="28" ht="15.75" customHeight="1">
      <c r="A28" s="31" t="s">
        <v>35</v>
      </c>
      <c r="B28" s="33">
        <f>SUM(K8:K13)</f>
        <v>638.484</v>
      </c>
      <c r="C28" s="2"/>
      <c r="D28" s="24"/>
      <c r="E28" s="23"/>
      <c r="F28" s="23"/>
      <c r="G28" s="30"/>
      <c r="H28" s="30"/>
      <c r="I28" s="30"/>
    </row>
    <row r="29" ht="15.75" customHeight="1">
      <c r="A29" s="31" t="s">
        <v>36</v>
      </c>
      <c r="B29" s="34">
        <f>SUM(N8:N13)</f>
        <v>538.824</v>
      </c>
      <c r="C29" s="2"/>
      <c r="D29" s="24"/>
      <c r="E29" s="23"/>
      <c r="F29" s="23"/>
      <c r="G29" s="26"/>
      <c r="H29" s="26"/>
      <c r="I29" s="26"/>
    </row>
    <row r="30" ht="15.75" customHeight="1">
      <c r="A30" s="31" t="s">
        <v>37</v>
      </c>
      <c r="B30" s="34"/>
      <c r="C30" s="23"/>
      <c r="D30" s="23"/>
      <c r="E30" s="23"/>
      <c r="F30" s="23"/>
      <c r="G30" s="26"/>
      <c r="H30" s="26"/>
      <c r="I30" s="26"/>
    </row>
    <row r="31" ht="15.75" customHeight="1">
      <c r="A31" s="27" t="s">
        <v>38</v>
      </c>
      <c r="B31" s="35">
        <f>SUM(B28:B30)</f>
        <v>1177.308</v>
      </c>
      <c r="C31" s="23"/>
      <c r="D31" s="23"/>
      <c r="E31" s="23"/>
      <c r="F31" s="23"/>
      <c r="G31" s="30"/>
      <c r="H31" s="30"/>
      <c r="I31" s="30"/>
    </row>
    <row r="32" ht="15.75" customHeight="1">
      <c r="A32" s="31"/>
      <c r="B32" s="31"/>
      <c r="C32" s="23"/>
      <c r="D32" s="23"/>
      <c r="E32" s="23"/>
    </row>
    <row r="33" ht="15.75" customHeight="1">
      <c r="A33" s="27" t="s">
        <v>39</v>
      </c>
      <c r="B33" s="36">
        <f>B25-B28-B29</f>
        <v>829.912</v>
      </c>
    </row>
    <row r="34" ht="15.75" customHeight="1">
      <c r="A34" s="27" t="s">
        <v>43</v>
      </c>
      <c r="B34" s="36">
        <f>B33-B30</f>
        <v>829.912</v>
      </c>
    </row>
    <row r="35" ht="15.75" customHeight="1">
      <c r="A35" s="31"/>
      <c r="B35" s="31"/>
    </row>
    <row r="36" ht="15.75" customHeight="1">
      <c r="A36" s="27" t="s">
        <v>46</v>
      </c>
      <c r="B36" s="31"/>
    </row>
    <row r="37" ht="15.75" customHeight="1">
      <c r="A37" s="31" t="s">
        <v>48</v>
      </c>
      <c r="B37" s="39">
        <f>B33/B25</f>
        <v>0.4134633971</v>
      </c>
      <c r="C37" s="2"/>
      <c r="F37" s="23"/>
      <c r="G37" s="26"/>
      <c r="H37" s="40"/>
    </row>
    <row r="38" ht="15.75" customHeight="1">
      <c r="A38" s="31" t="s">
        <v>49</v>
      </c>
      <c r="B38" s="39">
        <f>B34/B25</f>
        <v>0.4134633971</v>
      </c>
      <c r="G38" s="26"/>
      <c r="H38" s="40"/>
    </row>
    <row r="39" ht="15.75" customHeight="1">
      <c r="A39" s="31" t="s">
        <v>50</v>
      </c>
      <c r="B39" s="39">
        <f>B34/B31</f>
        <v>0.7049234355</v>
      </c>
      <c r="G39" s="26"/>
      <c r="H39" s="4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I52" s="2"/>
      <c r="J52" s="2"/>
      <c r="K52" s="2"/>
    </row>
    <row r="53" ht="15.75" customHeight="1">
      <c r="I53" s="2"/>
      <c r="J53" s="2"/>
      <c r="K53" s="41"/>
    </row>
    <row r="54" ht="15.75" customHeight="1">
      <c r="I54" s="2"/>
      <c r="J54" s="2"/>
      <c r="K54" s="2"/>
    </row>
    <row r="55" ht="15.75" customHeight="1">
      <c r="J55" s="41"/>
      <c r="K55" s="2"/>
    </row>
    <row r="56" ht="15.75" customHeight="1">
      <c r="I56" s="41"/>
      <c r="J56" s="2"/>
      <c r="K56" s="2"/>
    </row>
    <row r="57" ht="15.75" customHeight="1">
      <c r="D57" s="2"/>
      <c r="E57" s="2"/>
      <c r="I57" s="2"/>
      <c r="J57" s="2"/>
      <c r="K57" s="4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B6"/>
  </mergeCells>
  <hyperlinks>
    <hyperlink r:id="rId1" ref="V8"/>
    <hyperlink r:id="rId2" ref="V9"/>
    <hyperlink r:id="rId3" ref="V10"/>
    <hyperlink r:id="rId4" ref="V11"/>
    <hyperlink r:id="rId5" ref="V12"/>
    <hyperlink r:id="rId6" ref="V13"/>
  </hyperlinks>
  <printOptions/>
  <pageMargins bottom="0.75" footer="0.0" header="0.0" left="0.7" right="0.7" top="0.75"/>
  <pageSetup orientation="landscape"/>
  <drawing r:id="rId7"/>
  <tableParts count="3"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3" t="s">
        <v>0</v>
      </c>
      <c r="G5" s="3">
        <v>36.62</v>
      </c>
      <c r="H5" s="2"/>
      <c r="I5" s="2"/>
      <c r="J5" s="2"/>
      <c r="K5" s="2"/>
    </row>
    <row r="6">
      <c r="A6" s="4" t="s">
        <v>1</v>
      </c>
      <c r="B6" s="5"/>
      <c r="C6" s="6"/>
      <c r="D6" s="6"/>
      <c r="E6" s="6"/>
      <c r="F6" s="6"/>
      <c r="G6" s="6"/>
      <c r="H6" s="6"/>
      <c r="I6" s="6"/>
      <c r="J6" s="2"/>
      <c r="K6" s="2"/>
    </row>
    <row r="7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14</v>
      </c>
      <c r="N7" s="7" t="s">
        <v>15</v>
      </c>
      <c r="O7" s="7" t="s">
        <v>16</v>
      </c>
      <c r="P7" s="7" t="s">
        <v>17</v>
      </c>
      <c r="Q7" s="8" t="s">
        <v>18</v>
      </c>
      <c r="R7" s="8" t="s">
        <v>19</v>
      </c>
      <c r="S7" s="7" t="s">
        <v>20</v>
      </c>
      <c r="T7" s="7" t="s">
        <v>21</v>
      </c>
      <c r="U7" s="7" t="s">
        <v>22</v>
      </c>
      <c r="V7" s="7" t="s">
        <v>23</v>
      </c>
      <c r="W7" s="7" t="s">
        <v>77</v>
      </c>
    </row>
    <row r="8">
      <c r="A8" s="52" t="s">
        <v>90</v>
      </c>
      <c r="B8" s="10">
        <v>0.25</v>
      </c>
      <c r="C8" s="10">
        <f>'Posible inversion'!$B8*2.2</f>
        <v>0.55</v>
      </c>
      <c r="D8" s="10">
        <f>'Posible inversion'!$F8*'Posible inversion'!$B8</f>
        <v>3.75</v>
      </c>
      <c r="E8" s="10">
        <f>'Posible inversion'!$D8*2.2</f>
        <v>8.25</v>
      </c>
      <c r="F8" s="11">
        <v>15.0</v>
      </c>
      <c r="G8" s="10">
        <v>7.58</v>
      </c>
      <c r="H8" s="10">
        <f>'Posible inversion'!$F8*'Posible inversion'!$G8</f>
        <v>113.7</v>
      </c>
      <c r="I8" s="10">
        <f>'Posible inversion'!$H8*0.0295</f>
        <v>3.35415</v>
      </c>
      <c r="J8" s="10">
        <f>'Posible inversion'!$H8*0.03</f>
        <v>3.411</v>
      </c>
      <c r="K8" s="10">
        <f>SUM('Posible inversion'!$H8,'Posible inversion'!$I8,'Posible inversion'!$J8)</f>
        <v>120.46515</v>
      </c>
      <c r="L8" s="10">
        <f>1.4*'Posible inversion'!$E8</f>
        <v>11.55</v>
      </c>
      <c r="M8" s="10">
        <f>'Posible inversion'!$E8*$E$31</f>
        <v>20.625</v>
      </c>
      <c r="N8" s="10">
        <f>SUM('Posible inversion'!$L8,'Posible inversion'!$M8)</f>
        <v>32.175</v>
      </c>
      <c r="O8" s="10">
        <f>SUM('Posible inversion'!$N8, 'Posible inversion'!$H8, 'Posible inversion'!$I8, 'Posible inversion'!$J8)</f>
        <v>152.64015</v>
      </c>
      <c r="P8" s="10">
        <f>'Posible inversion'!$O8/'Posible inversion'!$F8</f>
        <v>10.17601</v>
      </c>
      <c r="Q8" s="10">
        <v>20.39</v>
      </c>
      <c r="R8" s="10">
        <f>'Posible inversion'!$F8*'Posible inversion'!$Q8</f>
        <v>305.85</v>
      </c>
      <c r="S8" s="10">
        <f>'Posible inversion'!$R8-'Posible inversion'!$O8</f>
        <v>153.20985</v>
      </c>
      <c r="T8" s="12">
        <f>(('Posible inversion'!$Q8-'Posible inversion'!$P8)/'Posible inversion'!$P8)</f>
        <v>1.003732308</v>
      </c>
      <c r="U8" s="12">
        <f>(('Posible inversion'!$Q8-'Posible inversion'!$P8)/'Posible inversion'!$Q8)</f>
        <v>0.5009313389</v>
      </c>
      <c r="V8" s="13" t="s">
        <v>79</v>
      </c>
      <c r="W8" s="18" t="s">
        <v>91</v>
      </c>
    </row>
    <row r="9">
      <c r="A9" s="52" t="s">
        <v>92</v>
      </c>
      <c r="B9" s="10">
        <v>0.23</v>
      </c>
      <c r="C9" s="10">
        <f>'Posible inversion'!$B9*2.2</f>
        <v>0.506</v>
      </c>
      <c r="D9" s="10">
        <f>'Posible inversion'!$F9*'Posible inversion'!$B9</f>
        <v>4.6</v>
      </c>
      <c r="E9" s="10">
        <f>'Posible inversion'!$D9*2.2</f>
        <v>10.12</v>
      </c>
      <c r="F9" s="11">
        <v>20.0</v>
      </c>
      <c r="G9" s="10">
        <v>16.6</v>
      </c>
      <c r="H9" s="10">
        <f>'Posible inversion'!$F9*'Posible inversion'!$G9</f>
        <v>332</v>
      </c>
      <c r="I9" s="10">
        <f>'Posible inversion'!$H9*0.0295</f>
        <v>9.794</v>
      </c>
      <c r="J9" s="10">
        <f>'Posible inversion'!$H9*0.03</f>
        <v>9.96</v>
      </c>
      <c r="K9" s="10">
        <f>SUM('Posible inversion'!$H9,'Posible inversion'!$I9,'Posible inversion'!$J9)</f>
        <v>351.754</v>
      </c>
      <c r="L9" s="10">
        <f>1.4*'Posible inversion'!$E9</f>
        <v>14.168</v>
      </c>
      <c r="M9" s="10">
        <f>'Posible inversion'!$E9*$E$31</f>
        <v>25.3</v>
      </c>
      <c r="N9" s="10">
        <f>SUM('Posible inversion'!$L9,'Posible inversion'!$M9)</f>
        <v>39.468</v>
      </c>
      <c r="O9" s="10">
        <f>SUM('Posible inversion'!$N9, 'Posible inversion'!$H9, 'Posible inversion'!$I9, 'Posible inversion'!$J9)</f>
        <v>391.222</v>
      </c>
      <c r="P9" s="10">
        <f>'Posible inversion'!$O9/'Posible inversion'!$F9</f>
        <v>19.5611</v>
      </c>
      <c r="Q9" s="10">
        <v>40.79</v>
      </c>
      <c r="R9" s="10">
        <f>'Posible inversion'!$F9*'Posible inversion'!$Q9</f>
        <v>815.8</v>
      </c>
      <c r="S9" s="10">
        <f>'Posible inversion'!$R9-'Posible inversion'!$O9</f>
        <v>424.578</v>
      </c>
      <c r="T9" s="12">
        <f>(('Posible inversion'!$Q9-'Posible inversion'!$P9)/'Posible inversion'!$P9)</f>
        <v>1.085261054</v>
      </c>
      <c r="U9" s="12">
        <f>(('Posible inversion'!$Q9-'Posible inversion'!$P9)/'Posible inversion'!$Q9)</f>
        <v>0.5204437362</v>
      </c>
      <c r="V9" s="13" t="s">
        <v>24</v>
      </c>
      <c r="W9" s="18" t="s">
        <v>91</v>
      </c>
    </row>
    <row r="10">
      <c r="A10" s="52" t="s">
        <v>85</v>
      </c>
      <c r="B10" s="10">
        <v>0.4</v>
      </c>
      <c r="C10" s="10">
        <f>'Posible inversion'!$B10*2.2</f>
        <v>0.88</v>
      </c>
      <c r="D10" s="10">
        <f>'Posible inversion'!$F10*'Posible inversion'!$B10</f>
        <v>6</v>
      </c>
      <c r="E10" s="10">
        <f>'Posible inversion'!$D10*2.2</f>
        <v>13.2</v>
      </c>
      <c r="F10" s="11">
        <v>15.0</v>
      </c>
      <c r="G10" s="10">
        <v>3.45</v>
      </c>
      <c r="H10" s="10">
        <f>'Posible inversion'!$F10*'Posible inversion'!$G10</f>
        <v>51.75</v>
      </c>
      <c r="I10" s="10">
        <f>'Posible inversion'!$H10*0.0295</f>
        <v>1.526625</v>
      </c>
      <c r="J10" s="10">
        <f>'Posible inversion'!$H10*0.03</f>
        <v>1.5525</v>
      </c>
      <c r="K10" s="10">
        <f>SUM('Posible inversion'!$H10,'Posible inversion'!$I10,'Posible inversion'!$J10)</f>
        <v>54.829125</v>
      </c>
      <c r="L10" s="10">
        <f>1.4*'Posible inversion'!$E10</f>
        <v>18.48</v>
      </c>
      <c r="M10" s="10">
        <f>'Posible inversion'!$E10*$E$31</f>
        <v>33</v>
      </c>
      <c r="N10" s="10">
        <f>SUM('Posible inversion'!$L10,'Posible inversion'!$M10)</f>
        <v>51.48</v>
      </c>
      <c r="O10" s="10">
        <f>SUM('Posible inversion'!$N10, 'Posible inversion'!$H10, 'Posible inversion'!$I10, 'Posible inversion'!$J10)</f>
        <v>106.309125</v>
      </c>
      <c r="P10" s="10">
        <f>'Posible inversion'!$O10/'Posible inversion'!$F10</f>
        <v>7.087275</v>
      </c>
      <c r="Q10" s="10">
        <v>16.17</v>
      </c>
      <c r="R10" s="10">
        <f>'Posible inversion'!$F10*'Posible inversion'!$Q10</f>
        <v>242.55</v>
      </c>
      <c r="S10" s="10">
        <f>'Posible inversion'!$R10-'Posible inversion'!$O10</f>
        <v>136.240875</v>
      </c>
      <c r="T10" s="12">
        <f>(('Posible inversion'!$Q10-'Posible inversion'!$P10)/'Posible inversion'!$P10)</f>
        <v>1.281553912</v>
      </c>
      <c r="U10" s="12">
        <f>(('Posible inversion'!$Q10-'Posible inversion'!$P10)/'Posible inversion'!$Q10)</f>
        <v>0.5617022263</v>
      </c>
      <c r="V10" s="13" t="s">
        <v>93</v>
      </c>
      <c r="W10" s="18">
        <v>1688.0</v>
      </c>
    </row>
    <row r="11">
      <c r="A11" s="9" t="s">
        <v>94</v>
      </c>
      <c r="B11" s="10">
        <v>0.01</v>
      </c>
      <c r="C11" s="10">
        <f>'Posible inversion'!$B11*2.2</f>
        <v>0.022</v>
      </c>
      <c r="D11" s="10">
        <f>'Posible inversion'!$F11*'Posible inversion'!$B11</f>
        <v>0.2</v>
      </c>
      <c r="E11" s="10">
        <f>'Posible inversion'!$D11*2.2</f>
        <v>0.44</v>
      </c>
      <c r="F11" s="11">
        <v>20.0</v>
      </c>
      <c r="G11" s="10">
        <v>3.45</v>
      </c>
      <c r="H11" s="10">
        <f>'Posible inversion'!$F11*'Posible inversion'!$G11</f>
        <v>69</v>
      </c>
      <c r="I11" s="10">
        <f>'Posible inversion'!$H11*0.0295</f>
        <v>2.0355</v>
      </c>
      <c r="J11" s="10">
        <f>'Posible inversion'!$H11*0.03</f>
        <v>2.07</v>
      </c>
      <c r="K11" s="10">
        <f>SUM('Posible inversion'!$H11,'Posible inversion'!$I11,'Posible inversion'!$J11)</f>
        <v>73.1055</v>
      </c>
      <c r="L11" s="10">
        <f>1.4*'Posible inversion'!$E11</f>
        <v>0.616</v>
      </c>
      <c r="M11" s="10">
        <f>'Posible inversion'!$E11*$E$31</f>
        <v>1.1</v>
      </c>
      <c r="N11" s="10">
        <f>SUM('Posible inversion'!$L11,'Posible inversion'!$M11)</f>
        <v>1.716</v>
      </c>
      <c r="O11" s="10">
        <f>SUM('Posible inversion'!$N11, 'Posible inversion'!$H11, 'Posible inversion'!$I11, 'Posible inversion'!$J11)</f>
        <v>74.8215</v>
      </c>
      <c r="P11" s="10">
        <f>'Posible inversion'!$O11/'Posible inversion'!$F11</f>
        <v>3.741075</v>
      </c>
      <c r="Q11" s="10">
        <v>17.17</v>
      </c>
      <c r="R11" s="10">
        <f>'Posible inversion'!$F11*'Posible inversion'!$Q11</f>
        <v>343.4</v>
      </c>
      <c r="S11" s="10">
        <f>'Posible inversion'!$R11-'Posible inversion'!$O11</f>
        <v>268.5785</v>
      </c>
      <c r="T11" s="12">
        <f>(('Posible inversion'!$Q11-'Posible inversion'!$P11)/'Posible inversion'!$P11)</f>
        <v>3.589589891</v>
      </c>
      <c r="U11" s="12">
        <f>(('Posible inversion'!$Q11-'Posible inversion'!$P11)/'Posible inversion'!$Q11)</f>
        <v>0.7821156086</v>
      </c>
      <c r="V11" s="13" t="s">
        <v>24</v>
      </c>
      <c r="W11" s="18" t="s">
        <v>91</v>
      </c>
    </row>
    <row r="12">
      <c r="A12" s="9" t="s">
        <v>95</v>
      </c>
      <c r="B12" s="10">
        <v>0.2</v>
      </c>
      <c r="C12" s="10">
        <f>'Posible inversion'!$B12*2.2</f>
        <v>0.44</v>
      </c>
      <c r="D12" s="10">
        <f>'Posible inversion'!$F12*'Posible inversion'!$B12</f>
        <v>1.2</v>
      </c>
      <c r="E12" s="10">
        <f>'Posible inversion'!$D12*2.2</f>
        <v>2.64</v>
      </c>
      <c r="F12" s="11">
        <v>6.0</v>
      </c>
      <c r="G12" s="10">
        <v>7.0</v>
      </c>
      <c r="H12" s="10">
        <f>'Posible inversion'!$F12*'Posible inversion'!$G12</f>
        <v>42</v>
      </c>
      <c r="I12" s="10">
        <f>'Posible inversion'!$H12*0.0295</f>
        <v>1.239</v>
      </c>
      <c r="J12" s="10">
        <f>'Posible inversion'!$H12*0.03</f>
        <v>1.26</v>
      </c>
      <c r="K12" s="10">
        <f>SUM('Posible inversion'!$H12,'Posible inversion'!$I12,'Posible inversion'!$J12)</f>
        <v>44.499</v>
      </c>
      <c r="L12" s="10">
        <f>1.4*'Posible inversion'!$E12</f>
        <v>3.696</v>
      </c>
      <c r="M12" s="10">
        <f>'Posible inversion'!$E12*$E$31</f>
        <v>6.6</v>
      </c>
      <c r="N12" s="10">
        <f>SUM('Posible inversion'!$L12,'Posible inversion'!$M12)</f>
        <v>10.296</v>
      </c>
      <c r="O12" s="10">
        <f>SUM('Posible inversion'!$N12, 'Posible inversion'!$H12, 'Posible inversion'!$I12, 'Posible inversion'!$J12)</f>
        <v>54.795</v>
      </c>
      <c r="P12" s="10">
        <f>'Posible inversion'!$O12/'Posible inversion'!$F12</f>
        <v>9.1325</v>
      </c>
      <c r="Q12" s="10">
        <v>20.0</v>
      </c>
      <c r="R12" s="10">
        <f>'Posible inversion'!$F12*'Posible inversion'!$Q12</f>
        <v>120</v>
      </c>
      <c r="S12" s="10">
        <f>'Posible inversion'!$R12-'Posible inversion'!$O12</f>
        <v>65.205</v>
      </c>
      <c r="T12" s="12">
        <f>(('Posible inversion'!$Q12-'Posible inversion'!$P12)/'Posible inversion'!$P12)</f>
        <v>1.189980838</v>
      </c>
      <c r="U12" s="12">
        <f>(('Posible inversion'!$Q12-'Posible inversion'!$P12)/'Posible inversion'!$Q12)</f>
        <v>0.543375</v>
      </c>
      <c r="V12" s="13" t="s">
        <v>24</v>
      </c>
      <c r="W12" s="18" t="s">
        <v>91</v>
      </c>
    </row>
    <row r="13">
      <c r="A13" s="9" t="s">
        <v>96</v>
      </c>
      <c r="B13" s="10">
        <v>0.05</v>
      </c>
      <c r="C13" s="10">
        <f>'Posible inversion'!$B13*2.2</f>
        <v>0.11</v>
      </c>
      <c r="D13" s="10">
        <f>'Posible inversion'!$F13*'Posible inversion'!$B13</f>
        <v>0.75</v>
      </c>
      <c r="E13" s="10">
        <f>'Posible inversion'!$D13*2.2</f>
        <v>1.65</v>
      </c>
      <c r="F13" s="11">
        <v>15.0</v>
      </c>
      <c r="G13" s="10">
        <v>2.5</v>
      </c>
      <c r="H13" s="10">
        <f>'Posible inversion'!$F13*'Posible inversion'!$G13</f>
        <v>37.5</v>
      </c>
      <c r="I13" s="10">
        <f>'Posible inversion'!$H13*0.0295</f>
        <v>1.10625</v>
      </c>
      <c r="J13" s="10">
        <f>'Posible inversion'!$H13*0.03</f>
        <v>1.125</v>
      </c>
      <c r="K13" s="10">
        <f>SUM('Posible inversion'!$H13,'Posible inversion'!$I13,'Posible inversion'!$J13)</f>
        <v>39.73125</v>
      </c>
      <c r="L13" s="10">
        <f>1.4*'Posible inversion'!$E13</f>
        <v>2.31</v>
      </c>
      <c r="M13" s="10">
        <f>'Posible inversion'!$E13*$E$31</f>
        <v>4.125</v>
      </c>
      <c r="N13" s="10">
        <f>SUM('Posible inversion'!$L13,'Posible inversion'!$M13)</f>
        <v>6.435</v>
      </c>
      <c r="O13" s="10">
        <f>SUM('Posible inversion'!$N13, 'Posible inversion'!$H13, 'Posible inversion'!$I13, 'Posible inversion'!$J13)</f>
        <v>46.16625</v>
      </c>
      <c r="P13" s="10">
        <f>'Posible inversion'!$O13/'Posible inversion'!$F13</f>
        <v>3.07775</v>
      </c>
      <c r="Q13" s="10">
        <v>7.0</v>
      </c>
      <c r="R13" s="10">
        <f>'Posible inversion'!$F13*'Posible inversion'!$Q13</f>
        <v>105</v>
      </c>
      <c r="S13" s="10">
        <f>'Posible inversion'!$R13-'Posible inversion'!$O13</f>
        <v>58.83375</v>
      </c>
      <c r="T13" s="12">
        <f>(('Posible inversion'!$Q13-'Posible inversion'!$P13)/'Posible inversion'!$P13)</f>
        <v>1.274388758</v>
      </c>
      <c r="U13" s="12">
        <f>(('Posible inversion'!$Q13-'Posible inversion'!$P13)/'Posible inversion'!$Q13)</f>
        <v>0.5603214286</v>
      </c>
      <c r="V13" s="13" t="s">
        <v>97</v>
      </c>
      <c r="W13" s="18" t="s">
        <v>91</v>
      </c>
    </row>
    <row r="14">
      <c r="A14" s="9" t="s">
        <v>98</v>
      </c>
      <c r="B14" s="10">
        <v>0.9</v>
      </c>
      <c r="C14" s="10">
        <f>'Posible inversion'!$B14*2.2</f>
        <v>1.98</v>
      </c>
      <c r="D14" s="10">
        <f>'Posible inversion'!$F14*'Posible inversion'!$B14</f>
        <v>4.5</v>
      </c>
      <c r="E14" s="10">
        <f>'Posible inversion'!$D14*2.2</f>
        <v>9.9</v>
      </c>
      <c r="F14" s="11">
        <v>5.0</v>
      </c>
      <c r="G14" s="10">
        <v>8.5</v>
      </c>
      <c r="H14" s="10">
        <f>'Posible inversion'!$F14*'Posible inversion'!$G14</f>
        <v>42.5</v>
      </c>
      <c r="I14" s="10">
        <f>'Posible inversion'!$H14*0.0295</f>
        <v>1.25375</v>
      </c>
      <c r="J14" s="10">
        <f>'Posible inversion'!$H14*0.03</f>
        <v>1.275</v>
      </c>
      <c r="K14" s="10">
        <f>SUM('Posible inversion'!$H14,'Posible inversion'!$I14,'Posible inversion'!$J14)</f>
        <v>45.02875</v>
      </c>
      <c r="L14" s="10">
        <f>1.4*'Posible inversion'!$E14</f>
        <v>13.86</v>
      </c>
      <c r="M14" s="10">
        <f>'Posible inversion'!$E14*$E$31</f>
        <v>24.75</v>
      </c>
      <c r="N14" s="10">
        <f>SUM('Posible inversion'!$L14,'Posible inversion'!$M14)</f>
        <v>38.61</v>
      </c>
      <c r="O14" s="10">
        <f>SUM('Posible inversion'!$N14, 'Posible inversion'!$H14, 'Posible inversion'!$I14, 'Posible inversion'!$J14)</f>
        <v>83.63875</v>
      </c>
      <c r="P14" s="10">
        <f>'Posible inversion'!$O14/'Posible inversion'!$F14</f>
        <v>16.72775</v>
      </c>
      <c r="Q14" s="10">
        <v>32.57</v>
      </c>
      <c r="R14" s="10">
        <f>'Posible inversion'!$F14*'Posible inversion'!$Q14</f>
        <v>162.85</v>
      </c>
      <c r="S14" s="10">
        <f>'Posible inversion'!$R14-'Posible inversion'!$O14</f>
        <v>79.21125</v>
      </c>
      <c r="T14" s="12">
        <f>(('Posible inversion'!$Q14-'Posible inversion'!$P14)/'Posible inversion'!$P14)</f>
        <v>0.9470640104</v>
      </c>
      <c r="U14" s="12">
        <f>(('Posible inversion'!$Q14-'Posible inversion'!$P14)/'Posible inversion'!$Q14)</f>
        <v>0.486406202</v>
      </c>
      <c r="V14" s="13" t="s">
        <v>79</v>
      </c>
      <c r="W14" s="18" t="s">
        <v>91</v>
      </c>
    </row>
    <row r="15">
      <c r="A15" s="9" t="s">
        <v>99</v>
      </c>
      <c r="B15" s="10">
        <v>0.65</v>
      </c>
      <c r="C15" s="10">
        <f>'Posible inversion'!$B15*2.2</f>
        <v>1.43</v>
      </c>
      <c r="D15" s="10">
        <f>'Posible inversion'!$F15*'Posible inversion'!$B15</f>
        <v>9.75</v>
      </c>
      <c r="E15" s="10">
        <f>'Posible inversion'!$D15*2.2</f>
        <v>21.45</v>
      </c>
      <c r="F15" s="11">
        <v>15.0</v>
      </c>
      <c r="G15" s="10">
        <v>8.88</v>
      </c>
      <c r="H15" s="10">
        <f>'Posible inversion'!$F15*'Posible inversion'!$G15</f>
        <v>133.2</v>
      </c>
      <c r="I15" s="10">
        <f>'Posible inversion'!$H15*0.0295</f>
        <v>3.9294</v>
      </c>
      <c r="J15" s="10">
        <f>'Posible inversion'!$H15*0.03</f>
        <v>3.996</v>
      </c>
      <c r="K15" s="10">
        <f>SUM('Posible inversion'!$H15,'Posible inversion'!$I15,'Posible inversion'!$J15)</f>
        <v>141.1254</v>
      </c>
      <c r="L15" s="10">
        <f>1.4*'Posible inversion'!$E15</f>
        <v>30.03</v>
      </c>
      <c r="M15" s="10">
        <f>'Posible inversion'!$E15*$E$31</f>
        <v>53.625</v>
      </c>
      <c r="N15" s="10">
        <f>SUM('Posible inversion'!$L15,'Posible inversion'!$M15)</f>
        <v>83.655</v>
      </c>
      <c r="O15" s="10">
        <f>SUM('Posible inversion'!$N15, 'Posible inversion'!$H15, 'Posible inversion'!$I15, 'Posible inversion'!$J15)</f>
        <v>224.7804</v>
      </c>
      <c r="P15" s="10">
        <f>'Posible inversion'!$O15/'Posible inversion'!$F15</f>
        <v>14.98536</v>
      </c>
      <c r="Q15" s="10">
        <v>25.0</v>
      </c>
      <c r="R15" s="10">
        <f>'Posible inversion'!$F15*'Posible inversion'!$Q15</f>
        <v>375</v>
      </c>
      <c r="S15" s="10">
        <f>'Posible inversion'!$R15-'Posible inversion'!$O15</f>
        <v>150.2196</v>
      </c>
      <c r="T15" s="12">
        <f>(('Posible inversion'!$Q15-'Posible inversion'!$P15)/'Posible inversion'!$P15)</f>
        <v>0.6682949225</v>
      </c>
      <c r="U15" s="12">
        <f>(('Posible inversion'!$Q15-'Posible inversion'!$P15)/'Posible inversion'!$Q15)</f>
        <v>0.4005856</v>
      </c>
      <c r="V15" s="13" t="s">
        <v>100</v>
      </c>
      <c r="W15" s="18" t="s">
        <v>91</v>
      </c>
    </row>
    <row r="16">
      <c r="A16" s="9"/>
      <c r="B16" s="10"/>
      <c r="C16" s="10"/>
      <c r="D16" s="10"/>
      <c r="E16" s="10"/>
      <c r="F16" s="1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2"/>
      <c r="U16" s="12"/>
      <c r="V16" s="13"/>
      <c r="W16" s="18"/>
    </row>
    <row r="17">
      <c r="A17" s="14" t="s">
        <v>25</v>
      </c>
      <c r="B17" s="15">
        <f t="shared" ref="B17:C17" si="1">SUM(B8:B16)</f>
        <v>2.69</v>
      </c>
      <c r="C17" s="15">
        <f t="shared" si="1"/>
        <v>5.918</v>
      </c>
      <c r="D17" s="15">
        <v>35.0</v>
      </c>
      <c r="E17" s="15">
        <f t="shared" ref="E17:H17" si="2">SUM(E8:E16)</f>
        <v>67.65</v>
      </c>
      <c r="F17" s="16">
        <f t="shared" si="2"/>
        <v>111</v>
      </c>
      <c r="G17" s="15">
        <f t="shared" si="2"/>
        <v>57.96</v>
      </c>
      <c r="H17" s="15">
        <f t="shared" si="2"/>
        <v>821.65</v>
      </c>
      <c r="I17" s="15">
        <f>'Posible inversion'!$H17*0.0295</f>
        <v>24.238675</v>
      </c>
      <c r="J17" s="15">
        <f>'Posible inversion'!$H17*0.03</f>
        <v>24.6495</v>
      </c>
      <c r="K17" s="15">
        <f>SUM('Posible inversion'!$H17,'Posible inversion'!$I17,'Posible inversion'!$J17)</f>
        <v>870.538175</v>
      </c>
      <c r="L17" s="15">
        <f t="shared" ref="L17:S17" si="3">SUM(L8:L16)</f>
        <v>94.71</v>
      </c>
      <c r="M17" s="15">
        <f t="shared" si="3"/>
        <v>169.125</v>
      </c>
      <c r="N17" s="15">
        <f t="shared" si="3"/>
        <v>263.835</v>
      </c>
      <c r="O17" s="15">
        <f t="shared" si="3"/>
        <v>1134.373175</v>
      </c>
      <c r="P17" s="15">
        <f t="shared" si="3"/>
        <v>84.48882</v>
      </c>
      <c r="Q17" s="15">
        <f t="shared" si="3"/>
        <v>179.09</v>
      </c>
      <c r="R17" s="15">
        <f t="shared" si="3"/>
        <v>2470.45</v>
      </c>
      <c r="S17" s="15">
        <f t="shared" si="3"/>
        <v>1336.076825</v>
      </c>
      <c r="T17" s="17"/>
      <c r="U17" s="17"/>
      <c r="V17" s="18"/>
      <c r="W17" s="18"/>
    </row>
    <row r="18">
      <c r="A18" s="9"/>
      <c r="B18" s="10"/>
      <c r="C18" s="10"/>
      <c r="D18" s="10"/>
      <c r="E18" s="10"/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8"/>
      <c r="T18" s="18"/>
      <c r="U18" s="18"/>
      <c r="V18" s="18"/>
      <c r="W18" s="18"/>
    </row>
    <row r="19">
      <c r="A19" s="9"/>
      <c r="B19" s="10"/>
      <c r="C19" s="10"/>
      <c r="D19" s="10"/>
      <c r="E19" s="10"/>
      <c r="F19" s="1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8"/>
      <c r="T19" s="18"/>
      <c r="U19" s="18"/>
      <c r="V19" s="18"/>
      <c r="W19" s="18"/>
    </row>
    <row r="20">
      <c r="A20" s="9"/>
      <c r="B20" s="10"/>
      <c r="C20" s="10"/>
      <c r="D20" s="10"/>
      <c r="E20" s="10"/>
      <c r="F20" s="1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8"/>
      <c r="T20" s="18"/>
      <c r="U20" s="18"/>
      <c r="V20" s="18"/>
      <c r="W20" s="18"/>
    </row>
    <row r="21" ht="15.75" customHeight="1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ht="15.75" customHeight="1">
      <c r="A22" s="20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1"/>
      <c r="M22" s="21"/>
      <c r="N22" s="19"/>
      <c r="O22" s="19"/>
      <c r="P22" s="19"/>
      <c r="Q22" s="19"/>
      <c r="R22" s="19"/>
      <c r="S22" s="22"/>
      <c r="T22" s="22"/>
      <c r="U22" s="22"/>
    </row>
    <row r="23" ht="15.75" customHeight="1">
      <c r="S23" s="22"/>
      <c r="T23" s="22"/>
      <c r="U23" s="22"/>
    </row>
    <row r="24" ht="15.75" customHeight="1">
      <c r="F24" s="23"/>
      <c r="G24" s="23"/>
      <c r="H24" s="23"/>
    </row>
    <row r="25" ht="15.75" customHeight="1">
      <c r="F25" s="23"/>
      <c r="G25" s="23"/>
      <c r="H25" s="23"/>
    </row>
    <row r="26" ht="15.75" customHeight="1">
      <c r="F26" s="23"/>
      <c r="G26" s="23"/>
      <c r="H26" s="23"/>
    </row>
    <row r="27" ht="15.75" customHeight="1">
      <c r="D27" s="24"/>
      <c r="E27" s="23"/>
      <c r="F27" s="23"/>
      <c r="G27" s="23"/>
      <c r="H27" s="23"/>
    </row>
    <row r="28" ht="15.75" customHeight="1">
      <c r="D28" s="24"/>
      <c r="E28" s="23"/>
      <c r="F28" s="23"/>
      <c r="G28" s="23"/>
      <c r="H28" s="23"/>
    </row>
    <row r="29" ht="15.75" customHeight="1">
      <c r="A29" s="25" t="s">
        <v>26</v>
      </c>
      <c r="B29" s="25" t="s">
        <v>27</v>
      </c>
      <c r="D29" s="24"/>
      <c r="E29" s="23"/>
      <c r="F29" s="23"/>
      <c r="G29" s="26"/>
      <c r="H29" s="26"/>
      <c r="I29" s="26"/>
    </row>
    <row r="30" ht="15.75" customHeight="1">
      <c r="A30" s="27" t="s">
        <v>28</v>
      </c>
      <c r="B30" s="28">
        <f>R17</f>
        <v>2470.45</v>
      </c>
      <c r="D30" s="29" t="s">
        <v>29</v>
      </c>
      <c r="E30" s="29" t="s">
        <v>30</v>
      </c>
      <c r="F30" s="23"/>
      <c r="G30" s="30"/>
      <c r="H30" s="30"/>
      <c r="I30" s="30"/>
    </row>
    <row r="31" ht="15.75" customHeight="1">
      <c r="A31" s="31"/>
      <c r="B31" s="31"/>
      <c r="D31" s="32" t="s">
        <v>31</v>
      </c>
      <c r="E31" s="32">
        <v>2.5</v>
      </c>
      <c r="F31" s="23"/>
      <c r="G31" s="26"/>
      <c r="H31" s="26"/>
      <c r="I31" s="26"/>
    </row>
    <row r="32" ht="15.75" customHeight="1">
      <c r="A32" s="27" t="s">
        <v>32</v>
      </c>
      <c r="B32" s="31"/>
      <c r="D32" s="32" t="s">
        <v>33</v>
      </c>
      <c r="E32" s="32" t="s">
        <v>34</v>
      </c>
      <c r="F32" s="23"/>
      <c r="G32" s="30"/>
      <c r="H32" s="30"/>
      <c r="I32" s="30"/>
    </row>
    <row r="33" ht="15.75" customHeight="1">
      <c r="A33" s="31" t="s">
        <v>35</v>
      </c>
      <c r="B33" s="33">
        <f>SUM(K8:K15)</f>
        <v>870.538175</v>
      </c>
      <c r="C33" s="2"/>
      <c r="D33" s="24"/>
      <c r="E33" s="23"/>
      <c r="F33" s="23"/>
      <c r="G33" s="30"/>
      <c r="H33" s="30"/>
      <c r="I33" s="30"/>
    </row>
    <row r="34" ht="15.75" customHeight="1">
      <c r="A34" s="31" t="s">
        <v>36</v>
      </c>
      <c r="B34" s="34">
        <f>SUM(N8:N15)</f>
        <v>263.835</v>
      </c>
      <c r="C34" s="2"/>
      <c r="D34" s="24"/>
      <c r="E34" s="23"/>
      <c r="F34" s="23"/>
      <c r="G34" s="26"/>
      <c r="H34" s="26"/>
      <c r="I34" s="26"/>
    </row>
    <row r="35" ht="15.75" customHeight="1">
      <c r="A35" s="31" t="s">
        <v>37</v>
      </c>
      <c r="B35" s="34"/>
      <c r="C35" s="23"/>
      <c r="D35" s="23"/>
      <c r="E35" s="23"/>
      <c r="F35" s="23"/>
      <c r="G35" s="26"/>
      <c r="H35" s="26"/>
      <c r="I35" s="26"/>
    </row>
    <row r="36" ht="15.75" customHeight="1">
      <c r="A36" s="27" t="s">
        <v>38</v>
      </c>
      <c r="B36" s="35">
        <f>SUM(B33:B35)</f>
        <v>1134.373175</v>
      </c>
      <c r="C36" s="23"/>
      <c r="D36" s="23"/>
      <c r="E36" s="23"/>
      <c r="F36" s="23"/>
      <c r="G36" s="30"/>
      <c r="H36" s="30"/>
      <c r="I36" s="30"/>
    </row>
    <row r="37" ht="15.75" customHeight="1">
      <c r="A37" s="31"/>
      <c r="B37" s="31"/>
      <c r="C37" s="23"/>
      <c r="D37" s="23"/>
      <c r="E37" s="23"/>
      <c r="F37" s="23"/>
      <c r="G37" s="26"/>
      <c r="H37" s="26"/>
      <c r="I37" s="26"/>
    </row>
    <row r="38" ht="15.75" customHeight="1">
      <c r="A38" s="27" t="s">
        <v>39</v>
      </c>
      <c r="B38" s="36">
        <f>B30-B33-B34</f>
        <v>1336.076825</v>
      </c>
      <c r="F38" s="23"/>
      <c r="G38" s="30"/>
      <c r="H38" s="37" t="s">
        <v>40</v>
      </c>
      <c r="I38" s="37" t="s">
        <v>41</v>
      </c>
      <c r="J38" s="37" t="s">
        <v>42</v>
      </c>
      <c r="K38" s="30"/>
    </row>
    <row r="39" ht="15.75" customHeight="1">
      <c r="A39" s="27" t="s">
        <v>43</v>
      </c>
      <c r="B39" s="36">
        <f>B38-B35</f>
        <v>1336.076825</v>
      </c>
      <c r="F39" s="23"/>
      <c r="G39" s="30"/>
      <c r="H39" s="27" t="s">
        <v>44</v>
      </c>
      <c r="I39" s="27">
        <v>2.0</v>
      </c>
      <c r="J39" s="38">
        <v>2.0</v>
      </c>
    </row>
    <row r="40" ht="15.75" customHeight="1">
      <c r="A40" s="31"/>
      <c r="B40" s="31"/>
      <c r="F40" s="23"/>
      <c r="G40" s="26"/>
      <c r="H40" s="31" t="s">
        <v>45</v>
      </c>
      <c r="I40" s="31">
        <v>3.0</v>
      </c>
      <c r="J40" s="38">
        <v>3.0</v>
      </c>
    </row>
    <row r="41" ht="15.75" customHeight="1">
      <c r="A41" s="27" t="s">
        <v>46</v>
      </c>
      <c r="B41" s="31"/>
      <c r="F41" s="23"/>
      <c r="G41" s="26"/>
      <c r="H41" s="31" t="s">
        <v>47</v>
      </c>
      <c r="I41" s="31">
        <v>5.0</v>
      </c>
      <c r="J41" s="38">
        <v>5.0</v>
      </c>
    </row>
    <row r="42" ht="15.75" customHeight="1">
      <c r="A42" s="31" t="s">
        <v>48</v>
      </c>
      <c r="B42" s="39">
        <f>B38/B30</f>
        <v>0.5408232609</v>
      </c>
      <c r="C42" s="2"/>
      <c r="F42" s="23"/>
      <c r="G42" s="26"/>
      <c r="H42" s="40"/>
    </row>
    <row r="43" ht="15.75" customHeight="1">
      <c r="A43" s="31" t="s">
        <v>49</v>
      </c>
      <c r="B43" s="39">
        <f>B39/B30</f>
        <v>0.5408232609</v>
      </c>
      <c r="G43" s="26"/>
      <c r="H43" s="40"/>
    </row>
    <row r="44" ht="15.75" customHeight="1">
      <c r="A44" s="31" t="s">
        <v>50</v>
      </c>
      <c r="B44" s="39">
        <f>B39/B36</f>
        <v>1.177810666</v>
      </c>
      <c r="G44" s="26"/>
      <c r="H44" s="4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I57" s="2"/>
      <c r="J57" s="2"/>
      <c r="K57" s="2"/>
    </row>
    <row r="58" ht="15.75" customHeight="1">
      <c r="I58" s="2"/>
      <c r="J58" s="2"/>
      <c r="K58" s="41"/>
    </row>
    <row r="59" ht="15.75" customHeight="1">
      <c r="I59" s="2"/>
      <c r="J59" s="2"/>
      <c r="K59" s="2"/>
    </row>
    <row r="60" ht="15.75" customHeight="1">
      <c r="J60" s="41"/>
      <c r="K60" s="2"/>
    </row>
    <row r="61" ht="15.75" customHeight="1">
      <c r="I61" s="41"/>
      <c r="J61" s="2"/>
      <c r="K61" s="2"/>
    </row>
    <row r="62" ht="15.75" customHeight="1">
      <c r="D62" s="2"/>
      <c r="E62" s="2"/>
      <c r="I62" s="2"/>
      <c r="J62" s="2"/>
      <c r="K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B6"/>
  </mergeCells>
  <hyperlinks>
    <hyperlink r:id="rId1" ref="V9"/>
    <hyperlink r:id="rId2" ref="V10"/>
    <hyperlink r:id="rId3" ref="V11"/>
    <hyperlink r:id="rId4" ref="V12"/>
    <hyperlink r:id="rId5" ref="V13"/>
    <hyperlink r:id="rId6" ref="V14"/>
    <hyperlink r:id="rId7" ref="V15"/>
  </hyperlinks>
  <printOptions/>
  <pageMargins bottom="0.75" footer="0.0" header="0.0" left="0.7" right="0.7" top="0.75"/>
  <pageSetup orientation="landscape"/>
  <drawing r:id="rId8"/>
  <tableParts count="4">
    <tablePart r:id="rId13"/>
    <tablePart r:id="rId14"/>
    <tablePart r:id="rId15"/>
    <tablePart r:id="rId16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2024-12-27T03:46:58Z</dcterms:created>
  <dc:creator>Dylan Steven Rizo Poveda</dc:creator>
</cp:coreProperties>
</file>